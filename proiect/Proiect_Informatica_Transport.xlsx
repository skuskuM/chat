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280" tabRatio="600" firstSheet="0" activeTab="0" autoFilterDateGrouping="1"/>
  </bookViews>
  <sheets>
    <sheet xmlns:r="http://schemas.openxmlformats.org/officeDocument/2006/relationships" name="Acasă" sheetId="1" state="visible" r:id="rId1"/>
    <sheet xmlns:r="http://schemas.openxmlformats.org/officeDocument/2006/relationships" name="Camere" sheetId="2" state="visible" r:id="rId2"/>
    <sheet xmlns:r="http://schemas.openxmlformats.org/officeDocument/2006/relationships" name="Autovehicule Transport Aproviz" sheetId="3" state="visible" r:id="rId3"/>
    <sheet xmlns:r="http://schemas.openxmlformats.org/officeDocument/2006/relationships" name="Nr nopți ocpt in prima jum an" sheetId="4" state="visible" r:id="rId4"/>
    <sheet xmlns:r="http://schemas.openxmlformats.org/officeDocument/2006/relationships" name="PT Raport Prima Jum An " sheetId="5" state="visible" r:id="rId5"/>
    <sheet xmlns:r="http://schemas.openxmlformats.org/officeDocument/2006/relationships" name="Clienti Fideli" sheetId="6" state="visible" r:id="rId6"/>
    <sheet xmlns:r="http://schemas.openxmlformats.org/officeDocument/2006/relationships" name="Clienti actuali" sheetId="7" state="visible" r:id="rId7"/>
    <sheet xmlns:r="http://schemas.openxmlformats.org/officeDocument/2006/relationships" name="Angajati" sheetId="8" state="visible" r:id="rId8"/>
  </sheets>
  <definedNames>
    <definedName name="ACCES_DIR._CĂTRE_PISCINĂ">Camere!$K$4:$K$54</definedName>
    <definedName name="Cameră_Delux">Camere!$D$16:$N$26</definedName>
    <definedName name="Cameră_Palais">Camere!$D$27:$N$37</definedName>
    <definedName name="Cameră_Superioară">Camere!$D$5:$N$15</definedName>
    <definedName name="Data_achizitiei">'Autovehicule Transport Aproviz'!$M$4:$M$18</definedName>
    <definedName name="DATA_ELIBERĂRII">Camere!$N$4:$N$53</definedName>
    <definedName name="DATA_OCUPĂRII">Camere!$M$4:$M$54</definedName>
    <definedName name="ETAJ">Camere!$J$4:$J$54</definedName>
    <definedName name="Kilometraj">'Autovehicule Transport Aproviz'!$L$4:$L$18</definedName>
    <definedName name="Marca">'Autovehicule Transport Aproviz'!$D$4:$D$18</definedName>
    <definedName name="Model">'Autovehicule Transport Aproviz'!$E$4:$E$18</definedName>
    <definedName name="Nr._locuri_pasageri">'Autovehicule Transport Aproviz'!$N$4:$N$18</definedName>
    <definedName name="Număr_cameră">Camere!$E$4:$E$54</definedName>
    <definedName name="Număr_de_înmatriculare">'Autovehicule Transport Aproviz'!$I$4:$I$18</definedName>
    <definedName name="Nume">'Clienti Fideli'!$D$4:$D$19</definedName>
    <definedName name="Nume_șofer">'Autovehicule Transport Aproviz'!$O$4:$O$18</definedName>
    <definedName name="OCUPATĂ_LIBERĂ">Camere!$L$4:$L$54</definedName>
    <definedName name="Prenume">'Clienti Fideli'!$E$4:$E$19</definedName>
    <definedName name="PREȚ_NOAPTE">Camere!$I$4:$I$54</definedName>
    <definedName name="Serie_de_șasiu">'Autovehicule Transport Aproviz'!$H$4:$H$18</definedName>
    <definedName name="Suită_Delux">Camere!$D$43:$N$47</definedName>
    <definedName name="Suită_Palais">Camere!$D$48:$N$52</definedName>
    <definedName name="Suită_Sperioară">Camere!$D$38:$N$42</definedName>
    <definedName name="SUPRAFAȚĂ_ÎN_m²">Camere!$F$4:$F$54</definedName>
    <definedName name="TABEL_CAMERE">Camere!$D$4:$N$54</definedName>
    <definedName name="Tip">'Autovehicule Transport Aproviz'!$F$4:$F$18</definedName>
    <definedName name="Tip_Cameră">Camere!$D$4:$D$54</definedName>
    <definedName name="TIP_PAT">Camere!$G$4:$G$54</definedName>
    <definedName name="Ultima_revzie">'Autovehicule Transport Aproviz'!$J$4:$J$18</definedName>
    <definedName name="Următoarea_revizie">'Autovehicule Transport Aproviz'!$K$4:$K$18</definedName>
    <definedName name="Utilizare">'Autovehicule Transport Aproviz'!$G$4:$G$18</definedName>
    <definedName name="VEDERE_LA_MARE">Camere!$H$4:$H$54</definedName>
    <definedName name="Villa">Camere!$D$53:$N$54</definedName>
  </definedNames>
  <calcPr calcId="191029" fullCalcOnLoad="1"/>
  <pivotCaches>
    <pivotCache xmlns:r="http://schemas.openxmlformats.org/officeDocument/2006/relationships" cacheId="2" r:id="rId9"/>
  </pivotCaches>
</workbook>
</file>

<file path=xl/styles.xml><?xml version="1.0" encoding="utf-8"?>
<styleSheet xmlns="http://schemas.openxmlformats.org/spreadsheetml/2006/main">
  <numFmts count="3">
    <numFmt numFmtId="164" formatCode="#,##0\ [$€-1]"/>
    <numFmt numFmtId="165" formatCode="000\-00\-0000"/>
    <numFmt numFmtId="166" formatCode="#,##0.00\ [$€-1]"/>
  </numFmts>
  <fonts count="9">
    <font>
      <name val="Calibri"/>
      <charset val="238"/>
      <family val="2"/>
      <color theme="1"/>
      <sz val="12"/>
      <scheme val="minor"/>
    </font>
    <font>
      <name val="Calibri"/>
      <charset val="238"/>
      <family val="2"/>
      <sz val="8"/>
      <scheme val="minor"/>
    </font>
    <font>
      <name val="Calibri (Body)"/>
      <charset val="238"/>
      <color rgb="FFFFF2E7"/>
      <sz val="12"/>
    </font>
    <font>
      <name val="Calibri"/>
      <charset val="238"/>
      <family val="2"/>
      <color rgb="FFFFF2E7"/>
      <sz val="12"/>
      <scheme val="minor"/>
    </font>
    <font>
      <name val="Calibri (Body)"/>
      <charset val="238"/>
      <color rgb="FFFFF2E7"/>
      <sz val="18"/>
    </font>
    <font>
      <name val="Calibri"/>
      <charset val="238"/>
      <family val="2"/>
      <b val="1"/>
      <color theme="0"/>
      <sz val="12"/>
      <scheme val="minor"/>
    </font>
    <font>
      <b val="1"/>
    </font>
    <font>
      <b val="1"/>
      <sz val="14"/>
    </font>
    <font>
      <sz val="12"/>
    </font>
  </fonts>
  <fills count="14">
    <fill>
      <patternFill/>
    </fill>
    <fill>
      <patternFill patternType="gray125"/>
    </fill>
    <fill>
      <patternFill patternType="solid">
        <fgColor rgb="FFF6EADE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theme="6"/>
        <bgColor theme="6"/>
      </patternFill>
    </fill>
    <fill>
      <patternFill patternType="solid">
        <fgColor rgb="FFFFC8CE"/>
        <bgColor indexed="64"/>
      </patternFill>
    </fill>
    <fill>
      <patternFill patternType="solid">
        <fgColor rgb="FFFFEB9B"/>
        <bgColor indexed="64"/>
      </patternFill>
    </fill>
    <fill>
      <patternFill patternType="solid">
        <fgColor rgb="FFC6EFCF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EBEBEB"/>
        <bgColor theme="0"/>
      </patternFill>
    </fill>
  </fills>
  <borders count="117">
    <border>
      <left/>
      <right/>
      <top/>
      <bottom/>
      <diagonal/>
    </border>
    <border>
      <left style="hair">
        <color auto="1"/>
      </left>
      <right style="hair">
        <color auto="1"/>
      </right>
      <top style="slantDashDot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slantDashDot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slantDashDot">
        <color auto="1"/>
      </bottom>
      <diagonal/>
    </border>
    <border>
      <left/>
      <right style="hair">
        <color auto="1"/>
      </right>
      <top style="slantDashDot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ck">
        <color auto="1"/>
      </left>
      <right style="hair">
        <color auto="1"/>
      </right>
      <top style="thick">
        <color auto="1"/>
      </top>
      <bottom style="slantDashDot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slantDashDot">
        <color auto="1"/>
      </bottom>
      <diagonal/>
    </border>
    <border>
      <left style="hair">
        <color auto="1"/>
      </left>
      <right style="thick">
        <color auto="1"/>
      </right>
      <top style="thick">
        <color auto="1"/>
      </top>
      <bottom style="slantDashDot">
        <color auto="1"/>
      </bottom>
      <diagonal/>
    </border>
    <border>
      <left style="thick">
        <color auto="1"/>
      </left>
      <right style="slantDashDot">
        <color auto="1"/>
      </right>
      <top style="slantDashDot">
        <color auto="1"/>
      </top>
      <bottom style="hair">
        <color auto="1"/>
      </bottom>
      <diagonal/>
    </border>
    <border>
      <left style="hair">
        <color auto="1"/>
      </left>
      <right style="thick">
        <color auto="1"/>
      </right>
      <top style="slantDashDot">
        <color auto="1"/>
      </top>
      <bottom style="hair">
        <color auto="1"/>
      </bottom>
      <diagonal/>
    </border>
    <border>
      <left style="thick">
        <color auto="1"/>
      </left>
      <right style="slantDashDot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slantDashDot">
        <color auto="1"/>
      </right>
      <top style="hair">
        <color auto="1"/>
      </top>
      <bottom style="slantDashDot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slantDashDot">
        <color auto="1"/>
      </bottom>
      <diagonal/>
    </border>
    <border>
      <left style="thick">
        <color auto="1"/>
      </left>
      <right style="slantDashDot">
        <color auto="1"/>
      </right>
      <top/>
      <bottom style="hair">
        <color auto="1"/>
      </bottom>
      <diagonal/>
    </border>
    <border>
      <left style="hair">
        <color auto="1"/>
      </left>
      <right style="thick">
        <color auto="1"/>
      </right>
      <top/>
      <bottom style="hair">
        <color auto="1"/>
      </bottom>
      <diagonal/>
    </border>
    <border>
      <left style="thick">
        <color auto="1"/>
      </left>
      <right style="slantDashDot">
        <color auto="1"/>
      </right>
      <top style="hair">
        <color auto="1"/>
      </top>
      <bottom/>
      <diagonal/>
    </border>
    <border>
      <left style="hair">
        <color auto="1"/>
      </left>
      <right style="thick">
        <color auto="1"/>
      </right>
      <top style="hair">
        <color auto="1"/>
      </top>
      <bottom/>
      <diagonal/>
    </border>
    <border>
      <left style="thick">
        <color auto="1"/>
      </left>
      <right style="slantDashDot">
        <color auto="1"/>
      </right>
      <top style="hair">
        <color auto="1"/>
      </top>
      <bottom style="thick">
        <color auto="1"/>
      </bottom>
      <diagonal/>
    </border>
    <border>
      <left/>
      <right style="hair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thick">
        <color auto="1"/>
      </bottom>
      <diagonal/>
    </border>
    <border>
      <left/>
      <right style="double">
        <color auto="1"/>
      </right>
      <top style="double">
        <color auto="1"/>
      </top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  <border>
      <left style="thick">
        <color auto="1"/>
      </left>
      <right style="slantDashDot">
        <color auto="1"/>
      </right>
      <top style="thick">
        <color auto="1"/>
      </top>
      <bottom style="slantDashDot">
        <color auto="1"/>
      </bottom>
      <diagonal/>
    </border>
    <border>
      <left style="slantDashDot">
        <color auto="1"/>
      </left>
      <right style="slantDashDot">
        <color auto="1"/>
      </right>
      <top style="thick">
        <color auto="1"/>
      </top>
      <bottom style="slantDashDot">
        <color auto="1"/>
      </bottom>
      <diagonal/>
    </border>
    <border>
      <left style="slantDashDot">
        <color auto="1"/>
      </left>
      <right style="slantDashDot">
        <color auto="1"/>
      </right>
      <top/>
      <bottom style="hair">
        <color auto="1"/>
      </bottom>
      <diagonal/>
    </border>
    <border>
      <left style="slantDashDot">
        <color auto="1"/>
      </left>
      <right style="slantDashDot">
        <color auto="1"/>
      </right>
      <top style="hair">
        <color auto="1"/>
      </top>
      <bottom style="hair">
        <color auto="1"/>
      </bottom>
      <diagonal/>
    </border>
    <border>
      <left style="slantDashDot">
        <color auto="1"/>
      </left>
      <right style="slantDashDot">
        <color auto="1"/>
      </right>
      <top style="hair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slantDashDot">
        <color auto="1"/>
      </bottom>
      <diagonal/>
    </border>
    <border>
      <left/>
      <right style="thick">
        <color auto="1"/>
      </right>
      <top/>
      <bottom style="hair">
        <color auto="1"/>
      </bottom>
      <diagonal/>
    </border>
    <border>
      <left/>
      <right style="thick">
        <color auto="1"/>
      </right>
      <top style="hair">
        <color auto="1"/>
      </top>
      <bottom style="hair">
        <color auto="1"/>
      </bottom>
      <diagonal/>
    </border>
    <border>
      <left/>
      <right style="thick">
        <color auto="1"/>
      </right>
      <top style="hair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/>
      <bottom style="hair">
        <color auto="1"/>
      </bottom>
      <diagonal/>
    </border>
    <border>
      <left style="hair">
        <color auto="1"/>
      </left>
      <right style="double">
        <color auto="1"/>
      </right>
      <top/>
      <bottom style="hair">
        <color auto="1"/>
      </bottom>
      <diagonal/>
    </border>
    <border>
      <left/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/>
      <diagonal/>
    </border>
    <border>
      <left style="hair">
        <color auto="1"/>
      </left>
      <right style="double">
        <color auto="1"/>
      </right>
      <top style="hair">
        <color auto="1"/>
      </top>
      <bottom/>
      <diagonal/>
    </border>
    <border>
      <left style="double">
        <color theme="1" tint="0.1499374370555742"/>
      </left>
      <right style="dashed">
        <color theme="1" tint="0.1499069185460982"/>
      </right>
      <top style="double">
        <color theme="1" tint="0.1499374370555742"/>
      </top>
      <bottom style="double">
        <color theme="1" tint="0.1499374370555742"/>
      </bottom>
      <diagonal/>
    </border>
    <border>
      <left style="double">
        <color theme="1" tint="0.1499679555650502"/>
      </left>
      <right style="dashed">
        <color theme="1" tint="0.1499069185460982"/>
      </right>
      <top/>
      <bottom style="hair">
        <color theme="1" tint="0.1499679555650502"/>
      </bottom>
      <diagonal/>
    </border>
    <border>
      <left style="double">
        <color theme="1" tint="0.1499679555650502"/>
      </left>
      <right style="dashed">
        <color theme="1" tint="0.1499069185460982"/>
      </right>
      <top style="hair">
        <color theme="1" tint="0.1499679555650502"/>
      </top>
      <bottom style="hair">
        <color theme="1" tint="0.1499679555650502"/>
      </bottom>
      <diagonal/>
    </border>
    <border>
      <left style="double">
        <color theme="1" tint="0.1499679555650502"/>
      </left>
      <right style="dashed">
        <color theme="1" tint="0.1499069185460982"/>
      </right>
      <top style="hair">
        <color theme="1" tint="0.1499679555650502"/>
      </top>
      <bottom style="double">
        <color theme="1" tint="0.1499679555650502"/>
      </bottom>
      <diagonal/>
    </border>
    <border>
      <left style="dashed">
        <color theme="1" tint="0.1499069185460982"/>
      </left>
      <right style="dashed">
        <color theme="1" tint="0.1498764000366222"/>
      </right>
      <top style="double">
        <color theme="1" tint="0.1499374370555742"/>
      </top>
      <bottom style="double">
        <color theme="1" tint="0.1499374370555742"/>
      </bottom>
      <diagonal/>
    </border>
    <border>
      <left style="dashed">
        <color theme="1" tint="0.1499069185460982"/>
      </left>
      <right style="dashed">
        <color theme="1" tint="0.1498764000366222"/>
      </right>
      <top/>
      <bottom style="hair">
        <color theme="1" tint="0.1499679555650502"/>
      </bottom>
      <diagonal/>
    </border>
    <border>
      <left style="dashed">
        <color theme="1" tint="0.1499069185460982"/>
      </left>
      <right style="dashed">
        <color theme="1" tint="0.1498764000366222"/>
      </right>
      <top style="hair">
        <color theme="1" tint="0.1499679555650502"/>
      </top>
      <bottom style="hair">
        <color theme="1" tint="0.1499679555650502"/>
      </bottom>
      <diagonal/>
    </border>
    <border>
      <left style="dashed">
        <color theme="1" tint="0.1499069185460982"/>
      </left>
      <right style="dashed">
        <color theme="1" tint="0.1498764000366222"/>
      </right>
      <top style="hair">
        <color theme="1" tint="0.1499679555650502"/>
      </top>
      <bottom style="double">
        <color theme="1" tint="0.1499679555650502"/>
      </bottom>
      <diagonal/>
    </border>
    <border>
      <left style="dashed">
        <color theme="1" tint="0.1498764000366222"/>
      </left>
      <right style="dashed">
        <color theme="1" tint="0.1498458815271462"/>
      </right>
      <top style="double">
        <color theme="1" tint="0.1499374370555742"/>
      </top>
      <bottom style="double">
        <color theme="1" tint="0.1499374370555742"/>
      </bottom>
      <diagonal/>
    </border>
    <border>
      <left style="dashed">
        <color theme="1" tint="0.1498764000366222"/>
      </left>
      <right style="dashed">
        <color theme="1" tint="0.1498458815271462"/>
      </right>
      <top/>
      <bottom style="hair">
        <color theme="1" tint="0.1499679555650502"/>
      </bottom>
      <diagonal/>
    </border>
    <border>
      <left style="dashed">
        <color theme="1" tint="0.1498764000366222"/>
      </left>
      <right style="dashed">
        <color theme="1" tint="0.1498458815271462"/>
      </right>
      <top style="hair">
        <color theme="1" tint="0.1499679555650502"/>
      </top>
      <bottom style="hair">
        <color theme="1" tint="0.1499679555650502"/>
      </bottom>
      <diagonal/>
    </border>
    <border>
      <left style="dashed">
        <color theme="1" tint="0.1498764000366222"/>
      </left>
      <right style="dashed">
        <color theme="1" tint="0.1498458815271462"/>
      </right>
      <top style="hair">
        <color theme="1" tint="0.1499679555650502"/>
      </top>
      <bottom style="double">
        <color theme="1" tint="0.1499679555650502"/>
      </bottom>
      <diagonal/>
    </border>
    <border>
      <left style="dashed">
        <color theme="1" tint="0.1498458815271462"/>
      </left>
      <right style="dashed">
        <color theme="1" tint="0.1498153630176702"/>
      </right>
      <top style="double">
        <color theme="1" tint="0.1499374370555742"/>
      </top>
      <bottom style="double">
        <color theme="1" tint="0.1499374370555742"/>
      </bottom>
      <diagonal/>
    </border>
    <border>
      <left style="dashed">
        <color theme="1" tint="0.1498458815271462"/>
      </left>
      <right style="dashed">
        <color theme="1" tint="0.1498153630176702"/>
      </right>
      <top/>
      <bottom style="hair">
        <color theme="1" tint="0.1499679555650502"/>
      </bottom>
      <diagonal/>
    </border>
    <border>
      <left style="dashed">
        <color theme="1" tint="0.1498458815271462"/>
      </left>
      <right style="dashed">
        <color theme="1" tint="0.1498153630176702"/>
      </right>
      <top style="hair">
        <color theme="1" tint="0.1499679555650502"/>
      </top>
      <bottom style="hair">
        <color theme="1" tint="0.1499679555650502"/>
      </bottom>
      <diagonal/>
    </border>
    <border>
      <left style="dashed">
        <color theme="1" tint="0.1498458815271462"/>
      </left>
      <right style="dashed">
        <color theme="1" tint="0.1498153630176702"/>
      </right>
      <top style="hair">
        <color theme="1" tint="0.1499679555650502"/>
      </top>
      <bottom style="double">
        <color theme="1" tint="0.1499679555650502"/>
      </bottom>
      <diagonal/>
    </border>
    <border>
      <left/>
      <right style="double">
        <color theme="1" tint="0.1499374370555742"/>
      </right>
      <top style="double">
        <color theme="1" tint="0.1499374370555742"/>
      </top>
      <bottom style="double">
        <color theme="1" tint="0.1499374370555742"/>
      </bottom>
      <diagonal/>
    </border>
    <border>
      <left/>
      <right style="double">
        <color theme="1" tint="0.1499679555650502"/>
      </right>
      <top/>
      <bottom style="hair">
        <color theme="1" tint="0.1499679555650502"/>
      </bottom>
      <diagonal/>
    </border>
    <border>
      <left/>
      <right style="double">
        <color theme="1" tint="0.1499679555650502"/>
      </right>
      <top style="hair">
        <color theme="1" tint="0.1499679555650502"/>
      </top>
      <bottom style="hair">
        <color theme="1" tint="0.1499679555650502"/>
      </bottom>
      <diagonal/>
    </border>
    <border>
      <left/>
      <right style="double">
        <color theme="1" tint="0.1499679555650502"/>
      </right>
      <top style="hair">
        <color theme="1" tint="0.1499679555650502"/>
      </top>
      <bottom style="double">
        <color theme="1" tint="0.1499679555650502"/>
      </bottom>
      <diagonal/>
    </border>
    <border>
      <left style="dashed">
        <color theme="1" tint="0.1498153630176702"/>
      </left>
      <right style="dashed">
        <color theme="1" tint="0.1497848445081942"/>
      </right>
      <top style="double">
        <color theme="1" tint="0.1499374370555742"/>
      </top>
      <bottom style="double">
        <color theme="1" tint="0.1499374370555742"/>
      </bottom>
      <diagonal/>
    </border>
    <border>
      <left style="dashed">
        <color theme="1" tint="0.1498153630176702"/>
      </left>
      <right style="dashed">
        <color theme="1" tint="0.1497848445081942"/>
      </right>
      <top/>
      <bottom style="hair">
        <color theme="1" tint="0.1499679555650502"/>
      </bottom>
      <diagonal/>
    </border>
    <border>
      <left style="dashed">
        <color theme="1" tint="0.1498153630176702"/>
      </left>
      <right style="dashed">
        <color theme="1" tint="0.1497848445081942"/>
      </right>
      <top style="hair">
        <color theme="1" tint="0.1499679555650502"/>
      </top>
      <bottom style="hair">
        <color theme="1" tint="0.1499679555650502"/>
      </bottom>
      <diagonal/>
    </border>
    <border>
      <left style="dashed">
        <color theme="1" tint="0.1498153630176702"/>
      </left>
      <right style="dashed">
        <color theme="1" tint="0.1497848445081942"/>
      </right>
      <top style="hair">
        <color theme="1" tint="0.1499679555650502"/>
      </top>
      <bottom style="double">
        <color theme="1" tint="0.1499679555650502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/>
      <bottom style="hair">
        <color auto="1"/>
      </bottom>
      <diagonal/>
    </border>
    <border>
      <left style="medium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double">
        <color auto="1"/>
      </right>
      <top style="hair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slantDashDot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medium">
        <color auto="1"/>
      </bottom>
      <diagonal/>
    </border>
    <border>
      <left/>
      <right style="double">
        <color auto="1"/>
      </right>
      <top/>
      <bottom style="hair">
        <color auto="1"/>
      </bottom>
      <diagonal/>
    </border>
    <border>
      <left/>
      <right style="double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/>
      <bottom/>
      <diagonal/>
    </border>
    <border>
      <left style="medium">
        <color auto="1"/>
      </left>
      <right style="double">
        <color auto="1"/>
      </right>
      <top/>
      <bottom style="medium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slantDashDot">
        <color auto="1"/>
      </right>
      <top style="medium">
        <color auto="1"/>
      </top>
      <bottom style="hair">
        <color auto="1"/>
      </bottom>
      <diagonal/>
    </border>
    <border>
      <left style="slantDashDot">
        <color auto="1"/>
      </left>
      <right style="slantDashDot">
        <color auto="1"/>
      </right>
      <top style="medium">
        <color auto="1"/>
      </top>
      <bottom style="hair">
        <color auto="1"/>
      </bottom>
      <diagonal/>
    </border>
    <border>
      <left style="slantDashDot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slantDashDot">
        <color auto="1"/>
      </right>
      <top style="hair">
        <color auto="1"/>
      </top>
      <bottom style="hair">
        <color auto="1"/>
      </bottom>
      <diagonal/>
    </border>
    <border>
      <left style="slantDashDot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slantDashDot">
        <color auto="1"/>
      </right>
      <top style="hair">
        <color auto="1"/>
      </top>
      <bottom style="medium">
        <color auto="1"/>
      </bottom>
      <diagonal/>
    </border>
    <border>
      <left style="slantDashDot">
        <color auto="1"/>
      </left>
      <right style="slantDashDot">
        <color auto="1"/>
      </right>
      <top style="hair">
        <color auto="1"/>
      </top>
      <bottom style="medium">
        <color auto="1"/>
      </bottom>
      <diagonal/>
    </border>
    <border>
      <left style="slantDashDot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uble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double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slantDashDot">
        <color auto="1"/>
      </right>
      <top/>
      <bottom/>
      <diagonal/>
    </border>
  </borders>
  <cellStyleXfs count="1">
    <xf numFmtId="0" fontId="0" fillId="0" borderId="0"/>
  </cellStyleXfs>
  <cellXfs count="233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2" fillId="4" borderId="11" applyAlignment="1" pivotButton="0" quotePrefix="0" xfId="0">
      <alignment horizontal="center"/>
    </xf>
    <xf numFmtId="0" fontId="3" fillId="4" borderId="12" applyAlignment="1" pivotButton="0" quotePrefix="0" xfId="0">
      <alignment horizontal="center"/>
    </xf>
    <xf numFmtId="0" fontId="3" fillId="4" borderId="13" applyAlignment="1" pivotButton="0" quotePrefix="0" xfId="0">
      <alignment horizontal="center"/>
    </xf>
    <xf numFmtId="1" fontId="0" fillId="5" borderId="8" pivotButton="0" quotePrefix="0" xfId="0"/>
    <xf numFmtId="1" fontId="0" fillId="5" borderId="1" pivotButton="0" quotePrefix="0" xfId="0"/>
    <xf numFmtId="49" fontId="0" fillId="5" borderId="1" pivotButton="0" quotePrefix="0" xfId="0"/>
    <xf numFmtId="49" fontId="0" fillId="5" borderId="1" applyAlignment="1" pivotButton="0" quotePrefix="0" xfId="0">
      <alignment horizontal="center"/>
    </xf>
    <xf numFmtId="164" fontId="0" fillId="5" borderId="1" pivotButton="0" quotePrefix="0" xfId="0"/>
    <xf numFmtId="0" fontId="0" fillId="5" borderId="1" applyAlignment="1" pivotButton="0" quotePrefix="0" xfId="0">
      <alignment horizontal="center"/>
    </xf>
    <xf numFmtId="14" fontId="0" fillId="5" borderId="1" pivotButton="0" quotePrefix="0" xfId="0"/>
    <xf numFmtId="14" fontId="0" fillId="5" borderId="15" pivotButton="0" quotePrefix="0" xfId="0"/>
    <xf numFmtId="1" fontId="0" fillId="5" borderId="6" pivotButton="0" quotePrefix="0" xfId="0"/>
    <xf numFmtId="1" fontId="0" fillId="5" borderId="2" pivotButton="0" quotePrefix="0" xfId="0"/>
    <xf numFmtId="49" fontId="0" fillId="5" borderId="2" pivotButton="0" quotePrefix="0" xfId="0"/>
    <xf numFmtId="49" fontId="0" fillId="5" borderId="2" applyAlignment="1" pivotButton="0" quotePrefix="0" xfId="0">
      <alignment horizontal="center"/>
    </xf>
    <xf numFmtId="164" fontId="0" fillId="5" borderId="2" pivotButton="0" quotePrefix="0" xfId="0"/>
    <xf numFmtId="0" fontId="0" fillId="5" borderId="2" applyAlignment="1" pivotButton="0" quotePrefix="0" xfId="0">
      <alignment horizontal="center"/>
    </xf>
    <xf numFmtId="14" fontId="0" fillId="5" borderId="2" pivotButton="0" quotePrefix="0" xfId="0"/>
    <xf numFmtId="14" fontId="0" fillId="5" borderId="17" pivotButton="0" quotePrefix="0" xfId="0"/>
    <xf numFmtId="1" fontId="0" fillId="5" borderId="7" pivotButton="0" quotePrefix="0" xfId="0"/>
    <xf numFmtId="1" fontId="0" fillId="5" borderId="3" pivotButton="0" quotePrefix="0" xfId="0"/>
    <xf numFmtId="49" fontId="0" fillId="5" borderId="3" pivotButton="0" quotePrefix="0" xfId="0"/>
    <xf numFmtId="49" fontId="0" fillId="5" borderId="3" applyAlignment="1" pivotButton="0" quotePrefix="0" xfId="0">
      <alignment horizontal="center"/>
    </xf>
    <xf numFmtId="164" fontId="0" fillId="5" borderId="3" pivotButton="0" quotePrefix="0" xfId="0"/>
    <xf numFmtId="0" fontId="0" fillId="5" borderId="3" applyAlignment="1" pivotButton="0" quotePrefix="0" xfId="0">
      <alignment horizontal="center"/>
    </xf>
    <xf numFmtId="14" fontId="0" fillId="5" borderId="3" pivotButton="0" quotePrefix="0" xfId="0"/>
    <xf numFmtId="14" fontId="0" fillId="5" borderId="19" pivotButton="0" quotePrefix="0" xfId="0"/>
    <xf numFmtId="1" fontId="0" fillId="5" borderId="5" pivotButton="0" quotePrefix="0" xfId="0"/>
    <xf numFmtId="1" fontId="0" fillId="5" borderId="4" pivotButton="0" quotePrefix="0" xfId="0"/>
    <xf numFmtId="49" fontId="0" fillId="5" borderId="4" pivotButton="0" quotePrefix="0" xfId="0"/>
    <xf numFmtId="49" fontId="0" fillId="5" borderId="4" applyAlignment="1" pivotButton="0" quotePrefix="0" xfId="0">
      <alignment horizontal="center"/>
    </xf>
    <xf numFmtId="164" fontId="0" fillId="5" borderId="4" pivotButton="0" quotePrefix="0" xfId="0"/>
    <xf numFmtId="0" fontId="0" fillId="5" borderId="4" applyAlignment="1" pivotButton="0" quotePrefix="0" xfId="0">
      <alignment horizontal="center"/>
    </xf>
    <xf numFmtId="14" fontId="0" fillId="5" borderId="4" pivotButton="0" quotePrefix="0" xfId="0"/>
    <xf numFmtId="14" fontId="0" fillId="5" borderId="21" pivotButton="0" quotePrefix="0" xfId="0"/>
    <xf numFmtId="1" fontId="0" fillId="5" borderId="9" pivotButton="0" quotePrefix="0" xfId="0"/>
    <xf numFmtId="1" fontId="0" fillId="5" borderId="10" pivotButton="0" quotePrefix="0" xfId="0"/>
    <xf numFmtId="49" fontId="0" fillId="5" borderId="10" pivotButton="0" quotePrefix="0" xfId="0"/>
    <xf numFmtId="49" fontId="0" fillId="5" borderId="10" applyAlignment="1" pivotButton="0" quotePrefix="0" xfId="0">
      <alignment horizontal="center"/>
    </xf>
    <xf numFmtId="164" fontId="0" fillId="5" borderId="10" pivotButton="0" quotePrefix="0" xfId="0"/>
    <xf numFmtId="0" fontId="0" fillId="5" borderId="10" applyAlignment="1" pivotButton="0" quotePrefix="0" xfId="0">
      <alignment horizontal="center"/>
    </xf>
    <xf numFmtId="14" fontId="0" fillId="5" borderId="10" pivotButton="0" quotePrefix="0" xfId="0"/>
    <xf numFmtId="14" fontId="0" fillId="5" borderId="23" pivotButton="0" quotePrefix="0" xfId="0"/>
    <xf numFmtId="0" fontId="0" fillId="5" borderId="4" pivotButton="0" quotePrefix="0" xfId="0"/>
    <xf numFmtId="1" fontId="0" fillId="5" borderId="25" pivotButton="0" quotePrefix="0" xfId="0"/>
    <xf numFmtId="1" fontId="0" fillId="5" borderId="26" pivotButton="0" quotePrefix="0" xfId="0"/>
    <xf numFmtId="49" fontId="0" fillId="5" borderId="26" pivotButton="0" quotePrefix="0" xfId="0"/>
    <xf numFmtId="49" fontId="0" fillId="5" borderId="26" applyAlignment="1" pivotButton="0" quotePrefix="0" xfId="0">
      <alignment horizontal="center"/>
    </xf>
    <xf numFmtId="164" fontId="0" fillId="5" borderId="26" pivotButton="0" quotePrefix="0" xfId="0"/>
    <xf numFmtId="0" fontId="0" fillId="5" borderId="26" pivotButton="0" quotePrefix="0" xfId="0"/>
    <xf numFmtId="0" fontId="0" fillId="5" borderId="26" applyAlignment="1" pivotButton="0" quotePrefix="0" xfId="0">
      <alignment horizontal="center"/>
    </xf>
    <xf numFmtId="14" fontId="0" fillId="5" borderId="26" pivotButton="0" quotePrefix="0" xfId="0"/>
    <xf numFmtId="14" fontId="0" fillId="5" borderId="27" pivotButton="0" quotePrefix="0" xfId="0"/>
    <xf numFmtId="0" fontId="0" fillId="5" borderId="31" pivotButton="0" quotePrefix="0" xfId="0"/>
    <xf numFmtId="0" fontId="0" fillId="5" borderId="28" pivotButton="0" quotePrefix="0" xfId="0"/>
    <xf numFmtId="0" fontId="0" fillId="5" borderId="32" pivotButton="0" quotePrefix="0" xfId="0"/>
    <xf numFmtId="0" fontId="0" fillId="5" borderId="29" pivotButton="0" quotePrefix="0" xfId="0"/>
    <xf numFmtId="0" fontId="0" fillId="5" borderId="33" pivotButton="0" quotePrefix="0" xfId="0"/>
    <xf numFmtId="9" fontId="0" fillId="5" borderId="30" pivotButton="0" quotePrefix="0" xfId="0"/>
    <xf numFmtId="49" fontId="0" fillId="5" borderId="20" pivotButton="0" quotePrefix="0" xfId="0"/>
    <xf numFmtId="49" fontId="0" fillId="5" borderId="36" pivotButton="0" quotePrefix="0" xfId="0"/>
    <xf numFmtId="14" fontId="0" fillId="5" borderId="36" pivotButton="0" quotePrefix="0" xfId="0"/>
    <xf numFmtId="3" fontId="0" fillId="5" borderId="36" pivotButton="0" quotePrefix="0" xfId="0"/>
    <xf numFmtId="1" fontId="0" fillId="5" borderId="36" applyAlignment="1" pivotButton="0" quotePrefix="0" xfId="0">
      <alignment horizontal="center"/>
    </xf>
    <xf numFmtId="49" fontId="0" fillId="5" borderId="40" pivotButton="0" quotePrefix="0" xfId="0"/>
    <xf numFmtId="49" fontId="0" fillId="5" borderId="16" pivotButton="0" quotePrefix="0" xfId="0"/>
    <xf numFmtId="49" fontId="0" fillId="5" borderId="37" pivotButton="0" quotePrefix="0" xfId="0"/>
    <xf numFmtId="14" fontId="0" fillId="5" borderId="37" pivotButton="0" quotePrefix="0" xfId="0"/>
    <xf numFmtId="3" fontId="0" fillId="5" borderId="37" pivotButton="0" quotePrefix="0" xfId="0"/>
    <xf numFmtId="1" fontId="0" fillId="5" borderId="37" applyAlignment="1" pivotButton="0" quotePrefix="0" xfId="0">
      <alignment horizontal="center"/>
    </xf>
    <xf numFmtId="49" fontId="0" fillId="5" borderId="41" pivotButton="0" quotePrefix="0" xfId="0"/>
    <xf numFmtId="49" fontId="0" fillId="5" borderId="24" pivotButton="0" quotePrefix="0" xfId="0"/>
    <xf numFmtId="49" fontId="0" fillId="5" borderId="38" pivotButton="0" quotePrefix="0" xfId="0"/>
    <xf numFmtId="14" fontId="0" fillId="5" borderId="38" pivotButton="0" quotePrefix="0" xfId="0"/>
    <xf numFmtId="3" fontId="0" fillId="5" borderId="38" pivotButton="0" quotePrefix="0" xfId="0"/>
    <xf numFmtId="1" fontId="0" fillId="5" borderId="38" applyAlignment="1" pivotButton="0" quotePrefix="0" xfId="0">
      <alignment horizontal="center"/>
    </xf>
    <xf numFmtId="49" fontId="0" fillId="5" borderId="42" pivotButton="0" quotePrefix="0" xfId="0"/>
    <xf numFmtId="3" fontId="0" fillId="5" borderId="44" pivotButton="0" quotePrefix="0" xfId="0"/>
    <xf numFmtId="0" fontId="0" fillId="5" borderId="44" pivotButton="0" quotePrefix="0" xfId="0"/>
    <xf numFmtId="0" fontId="0" fillId="5" borderId="6" pivotButton="0" quotePrefix="0" xfId="0"/>
    <xf numFmtId="0" fontId="0" fillId="5" borderId="45" pivotButton="0" quotePrefix="0" xfId="0"/>
    <xf numFmtId="49" fontId="0" fillId="5" borderId="5" pivotButton="0" quotePrefix="0" xfId="0"/>
    <xf numFmtId="3" fontId="0" fillId="5" borderId="46" pivotButton="0" quotePrefix="0" xfId="0"/>
    <xf numFmtId="0" fontId="0" fillId="5" borderId="43" pivotButton="0" quotePrefix="0" xfId="0"/>
    <xf numFmtId="0" fontId="0" fillId="5" borderId="47" pivotButton="0" quotePrefix="0" xfId="0"/>
    <xf numFmtId="0" fontId="0" fillId="5" borderId="48" pivotButton="0" quotePrefix="0" xfId="0"/>
    <xf numFmtId="0" fontId="0" fillId="5" borderId="49" pivotButton="0" quotePrefix="0" xfId="0"/>
    <xf numFmtId="0" fontId="0" fillId="5" borderId="9" pivotButton="0" quotePrefix="0" xfId="0"/>
    <xf numFmtId="4" fontId="0" fillId="5" borderId="50" pivotButton="0" quotePrefix="0" xfId="0"/>
    <xf numFmtId="49" fontId="3" fillId="4" borderId="34" applyAlignment="1" pivotButton="0" quotePrefix="0" xfId="0">
      <alignment horizontal="center"/>
    </xf>
    <xf numFmtId="49" fontId="3" fillId="4" borderId="35" applyAlignment="1" pivotButton="0" quotePrefix="0" xfId="0">
      <alignment horizontal="center"/>
    </xf>
    <xf numFmtId="0" fontId="3" fillId="4" borderId="35" applyAlignment="1" pivotButton="0" quotePrefix="0" xfId="0">
      <alignment horizontal="center"/>
    </xf>
    <xf numFmtId="49" fontId="3" fillId="4" borderId="39" applyAlignment="1" pivotButton="0" quotePrefix="0" xfId="0">
      <alignment horizontal="center"/>
    </xf>
    <xf numFmtId="0" fontId="5" fillId="6" borderId="51" pivotButton="0" quotePrefix="0" xfId="0"/>
    <xf numFmtId="0" fontId="0" fillId="7" borderId="52" applyAlignment="1" pivotButton="0" quotePrefix="0" xfId="0">
      <alignment horizontal="center"/>
    </xf>
    <xf numFmtId="0" fontId="0" fillId="8" borderId="53" applyAlignment="1" pivotButton="0" quotePrefix="0" xfId="0">
      <alignment horizontal="center"/>
    </xf>
    <xf numFmtId="0" fontId="0" fillId="9" borderId="54" applyAlignment="1" pivotButton="0" quotePrefix="0" xfId="0">
      <alignment horizontal="center"/>
    </xf>
    <xf numFmtId="0" fontId="5" fillId="6" borderId="55" pivotButton="0" quotePrefix="0" xfId="0"/>
    <xf numFmtId="0" fontId="0" fillId="7" borderId="56" applyAlignment="1" pivotButton="0" quotePrefix="0" xfId="0">
      <alignment horizontal="center"/>
    </xf>
    <xf numFmtId="0" fontId="0" fillId="8" borderId="57" applyAlignment="1" pivotButton="0" quotePrefix="0" xfId="0">
      <alignment horizontal="center"/>
    </xf>
    <xf numFmtId="0" fontId="0" fillId="9" borderId="58" applyAlignment="1" pivotButton="0" quotePrefix="0" xfId="0">
      <alignment horizontal="center"/>
    </xf>
    <xf numFmtId="0" fontId="5" fillId="6" borderId="59" pivotButton="0" quotePrefix="0" xfId="0"/>
    <xf numFmtId="0" fontId="0" fillId="7" borderId="60" applyAlignment="1" pivotButton="0" quotePrefix="0" xfId="0">
      <alignment horizontal="center"/>
    </xf>
    <xf numFmtId="0" fontId="0" fillId="8" borderId="61" applyAlignment="1" pivotButton="0" quotePrefix="0" xfId="0">
      <alignment horizontal="center"/>
    </xf>
    <xf numFmtId="0" fontId="0" fillId="9" borderId="62" applyAlignment="1" pivotButton="0" quotePrefix="0" xfId="0">
      <alignment horizontal="center"/>
    </xf>
    <xf numFmtId="0" fontId="5" fillId="6" borderId="63" pivotButton="0" quotePrefix="0" xfId="0"/>
    <xf numFmtId="0" fontId="0" fillId="7" borderId="64" applyAlignment="1" pivotButton="0" quotePrefix="0" xfId="0">
      <alignment horizontal="center"/>
    </xf>
    <xf numFmtId="0" fontId="0" fillId="8" borderId="65" applyAlignment="1" pivotButton="0" quotePrefix="0" xfId="0">
      <alignment horizontal="center"/>
    </xf>
    <xf numFmtId="0" fontId="0" fillId="9" borderId="66" applyAlignment="1" pivotButton="0" quotePrefix="0" xfId="0">
      <alignment horizontal="center"/>
    </xf>
    <xf numFmtId="0" fontId="5" fillId="6" borderId="67" pivotButton="0" quotePrefix="0" xfId="0"/>
    <xf numFmtId="0" fontId="0" fillId="7" borderId="68" applyAlignment="1" pivotButton="0" quotePrefix="0" xfId="0">
      <alignment horizontal="center"/>
    </xf>
    <xf numFmtId="0" fontId="0" fillId="8" borderId="69" applyAlignment="1" pivotButton="0" quotePrefix="0" xfId="0">
      <alignment horizontal="center"/>
    </xf>
    <xf numFmtId="0" fontId="0" fillId="9" borderId="70" applyAlignment="1" pivotButton="0" quotePrefix="0" xfId="0">
      <alignment horizontal="center"/>
    </xf>
    <xf numFmtId="0" fontId="5" fillId="6" borderId="71" pivotButton="0" quotePrefix="0" xfId="0"/>
    <xf numFmtId="0" fontId="0" fillId="7" borderId="72" applyAlignment="1" pivotButton="0" quotePrefix="0" xfId="0">
      <alignment horizontal="center"/>
    </xf>
    <xf numFmtId="0" fontId="0" fillId="8" borderId="73" applyAlignment="1" pivotButton="0" quotePrefix="0" xfId="0">
      <alignment horizontal="center"/>
    </xf>
    <xf numFmtId="0" fontId="0" fillId="9" borderId="74" applyAlignment="1" pivotButton="0" quotePrefix="0" xfId="0">
      <alignment horizontal="center"/>
    </xf>
    <xf numFmtId="0" fontId="0" fillId="10" borderId="0" pivotButton="0" quotePrefix="0" xfId="0"/>
    <xf numFmtId="164" fontId="0" fillId="10" borderId="0" pivotButton="0" quotePrefix="0" xfId="0"/>
    <xf numFmtId="0" fontId="0" fillId="11" borderId="0" pivotButton="0" quotePrefix="0" xfId="0"/>
    <xf numFmtId="164" fontId="0" fillId="11" borderId="0" pivotButton="0" quotePrefix="0" xfId="0"/>
    <xf numFmtId="0" fontId="0" fillId="12" borderId="0" pivotButton="0" quotePrefix="0" xfId="0"/>
    <xf numFmtId="164" fontId="0" fillId="12" borderId="0" pivotButton="0" quotePrefix="0" xfId="0"/>
    <xf numFmtId="1" fontId="0" fillId="10" borderId="0" applyAlignment="1" pivotButton="0" quotePrefix="0" xfId="0">
      <alignment horizontal="center"/>
    </xf>
    <xf numFmtId="1" fontId="0" fillId="11" borderId="0" applyAlignment="1" pivotButton="0" quotePrefix="0" xfId="0">
      <alignment horizontal="center"/>
    </xf>
    <xf numFmtId="1" fontId="0" fillId="12" borderId="0" applyAlignment="1" pivotButton="0" quotePrefix="0" xfId="0">
      <alignment horizontal="center"/>
    </xf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164" fontId="3" fillId="4" borderId="0" pivotButton="0" quotePrefix="0" xfId="0"/>
    <xf numFmtId="0" fontId="3" fillId="4" borderId="0" pivotButton="0" quotePrefix="0" xfId="0"/>
    <xf numFmtId="0" fontId="0" fillId="11" borderId="0" applyAlignment="1" pivotButton="0" quotePrefix="0" xfId="0">
      <alignment horizontal="left"/>
    </xf>
    <xf numFmtId="164" fontId="0" fillId="10" borderId="0" pivotButton="0" quotePrefix="0" xfId="0"/>
    <xf numFmtId="0" fontId="0" fillId="10" borderId="0" pivotButton="0" quotePrefix="0" xfId="0"/>
    <xf numFmtId="0" fontId="0" fillId="4" borderId="0" pivotButton="0" quotePrefix="0" xfId="0"/>
    <xf numFmtId="0" fontId="3" fillId="4" borderId="75" applyAlignment="1" pivotButton="0" quotePrefix="0" xfId="0">
      <alignment horizontal="center"/>
    </xf>
    <xf numFmtId="0" fontId="0" fillId="5" borderId="77" pivotButton="0" quotePrefix="0" xfId="0"/>
    <xf numFmtId="1" fontId="0" fillId="5" borderId="81" pivotButton="0" quotePrefix="0" xfId="0"/>
    <xf numFmtId="14" fontId="0" fillId="5" borderId="83" pivotButton="0" quotePrefix="0" xfId="0"/>
    <xf numFmtId="14" fontId="0" fillId="5" borderId="5" pivotButton="0" quotePrefix="0" xfId="0"/>
    <xf numFmtId="1" fontId="0" fillId="5" borderId="46" pivotButton="0" quotePrefix="0" xfId="0"/>
    <xf numFmtId="0" fontId="0" fillId="5" borderId="45" applyAlignment="1" pivotButton="0" quotePrefix="0" xfId="0">
      <alignment horizontal="center"/>
    </xf>
    <xf numFmtId="14" fontId="0" fillId="5" borderId="86" pivotButton="0" quotePrefix="0" xfId="0"/>
    <xf numFmtId="0" fontId="0" fillId="5" borderId="78" pivotButton="0" quotePrefix="0" xfId="0"/>
    <xf numFmtId="1" fontId="0" fillId="5" borderId="32" pivotButton="0" quotePrefix="0" xfId="0"/>
    <xf numFmtId="14" fontId="0" fillId="5" borderId="29" pivotButton="0" quotePrefix="0" xfId="0"/>
    <xf numFmtId="14" fontId="0" fillId="5" borderId="6" pivotButton="0" quotePrefix="0" xfId="0"/>
    <xf numFmtId="1" fontId="0" fillId="5" borderId="44" pivotButton="0" quotePrefix="0" xfId="0"/>
    <xf numFmtId="0" fontId="0" fillId="5" borderId="32" applyAlignment="1" pivotButton="0" quotePrefix="0" xfId="0">
      <alignment horizontal="center"/>
    </xf>
    <xf numFmtId="14" fontId="0" fillId="5" borderId="87" pivotButton="0" quotePrefix="0" xfId="0"/>
    <xf numFmtId="0" fontId="0" fillId="5" borderId="79" pivotButton="0" quotePrefix="0" xfId="0"/>
    <xf numFmtId="0" fontId="0" fillId="5" borderId="80" pivotButton="0" quotePrefix="0" xfId="0"/>
    <xf numFmtId="1" fontId="0" fillId="5" borderId="82" pivotButton="0" quotePrefix="0" xfId="0"/>
    <xf numFmtId="14" fontId="0" fillId="5" borderId="84" pivotButton="0" quotePrefix="0" xfId="0"/>
    <xf numFmtId="14" fontId="0" fillId="5" borderId="76" pivotButton="0" quotePrefix="0" xfId="0"/>
    <xf numFmtId="1" fontId="0" fillId="5" borderId="85" pivotButton="0" quotePrefix="0" xfId="0"/>
    <xf numFmtId="0" fontId="0" fillId="5" borderId="82" applyAlignment="1" pivotButton="0" quotePrefix="0" xfId="0">
      <alignment horizontal="center"/>
    </xf>
    <xf numFmtId="0" fontId="0" fillId="5" borderId="82" pivotButton="0" quotePrefix="0" xfId="0"/>
    <xf numFmtId="14" fontId="0" fillId="5" borderId="88" pivotButton="0" quotePrefix="0" xfId="0"/>
    <xf numFmtId="0" fontId="0" fillId="11" borderId="89" pivotButton="0" quotePrefix="0" xfId="0"/>
    <xf numFmtId="14" fontId="0" fillId="11" borderId="90" pivotButton="0" quotePrefix="0" xfId="0"/>
    <xf numFmtId="0" fontId="0" fillId="5" borderId="95" pivotButton="0" quotePrefix="0" xfId="0"/>
    <xf numFmtId="0" fontId="0" fillId="5" borderId="97" pivotButton="0" quotePrefix="0" xfId="0"/>
    <xf numFmtId="1" fontId="0" fillId="5" borderId="97" applyAlignment="1" pivotButton="0" quotePrefix="0" xfId="0">
      <alignment horizontal="center"/>
    </xf>
    <xf numFmtId="14" fontId="0" fillId="5" borderId="97" pivotButton="0" quotePrefix="0" xfId="0"/>
    <xf numFmtId="0" fontId="0" fillId="5" borderId="97" applyAlignment="1" pivotButton="0" quotePrefix="0" xfId="0">
      <alignment horizontal="center"/>
    </xf>
    <xf numFmtId="0" fontId="0" fillId="5" borderId="91" pivotButton="0" quotePrefix="0" xfId="0"/>
    <xf numFmtId="0" fontId="0" fillId="5" borderId="96" pivotButton="0" quotePrefix="0" xfId="0"/>
    <xf numFmtId="0" fontId="0" fillId="5" borderId="98" pivotButton="0" quotePrefix="0" xfId="0"/>
    <xf numFmtId="1" fontId="0" fillId="5" borderId="98" applyAlignment="1" pivotButton="0" quotePrefix="0" xfId="0">
      <alignment horizontal="center"/>
    </xf>
    <xf numFmtId="14" fontId="0" fillId="5" borderId="98" pivotButton="0" quotePrefix="0" xfId="0"/>
    <xf numFmtId="0" fontId="0" fillId="5" borderId="98" applyAlignment="1" pivotButton="0" quotePrefix="0" xfId="0">
      <alignment horizontal="center"/>
    </xf>
    <xf numFmtId="0" fontId="0" fillId="5" borderId="92" pivotButton="0" quotePrefix="0" xfId="0"/>
    <xf numFmtId="0" fontId="3" fillId="4" borderId="93" pivotButton="0" quotePrefix="0" xfId="0"/>
    <xf numFmtId="0" fontId="3" fillId="4" borderId="94" pivotButton="0" quotePrefix="0" xfId="0"/>
    <xf numFmtId="0" fontId="3" fillId="4" borderId="75" pivotButton="0" quotePrefix="0" xfId="0"/>
    <xf numFmtId="0" fontId="3" fillId="4" borderId="99" pivotButton="0" quotePrefix="0" xfId="0"/>
    <xf numFmtId="0" fontId="3" fillId="4" borderId="100" pivotButton="0" quotePrefix="0" xfId="0"/>
    <xf numFmtId="49" fontId="0" fillId="5" borderId="101" pivotButton="0" quotePrefix="0" xfId="0"/>
    <xf numFmtId="0" fontId="0" fillId="5" borderId="102" pivotButton="0" quotePrefix="0" xfId="0"/>
    <xf numFmtId="165" fontId="0" fillId="5" borderId="102" pivotButton="0" quotePrefix="0" xfId="0"/>
    <xf numFmtId="14" fontId="0" fillId="5" borderId="102" pivotButton="0" quotePrefix="0" xfId="0"/>
    <xf numFmtId="1" fontId="0" fillId="5" borderId="102" pivotButton="0" quotePrefix="0" xfId="0"/>
    <xf numFmtId="166" fontId="0" fillId="5" borderId="102" pivotButton="0" quotePrefix="0" xfId="0"/>
    <xf numFmtId="0" fontId="0" fillId="5" borderId="103" pivotButton="0" quotePrefix="0" xfId="0"/>
    <xf numFmtId="0" fontId="0" fillId="5" borderId="104" pivotButton="0" quotePrefix="0" xfId="0"/>
    <xf numFmtId="0" fontId="0" fillId="5" borderId="37" pivotButton="0" quotePrefix="0" xfId="0"/>
    <xf numFmtId="165" fontId="0" fillId="5" borderId="37" pivotButton="0" quotePrefix="0" xfId="0"/>
    <xf numFmtId="1" fontId="0" fillId="5" borderId="37" pivotButton="0" quotePrefix="0" xfId="0"/>
    <xf numFmtId="166" fontId="0" fillId="5" borderId="37" pivotButton="0" quotePrefix="0" xfId="0"/>
    <xf numFmtId="0" fontId="0" fillId="5" borderId="105" pivotButton="0" quotePrefix="0" xfId="0"/>
    <xf numFmtId="49" fontId="0" fillId="5" borderId="104" pivotButton="0" quotePrefix="0" xfId="0"/>
    <xf numFmtId="0" fontId="0" fillId="5" borderId="106" pivotButton="0" quotePrefix="0" xfId="0"/>
    <xf numFmtId="0" fontId="0" fillId="5" borderId="107" pivotButton="0" quotePrefix="0" xfId="0"/>
    <xf numFmtId="165" fontId="0" fillId="5" borderId="107" pivotButton="0" quotePrefix="0" xfId="0"/>
    <xf numFmtId="14" fontId="0" fillId="5" borderId="107" pivotButton="0" quotePrefix="0" xfId="0"/>
    <xf numFmtId="1" fontId="0" fillId="5" borderId="107" pivotButton="0" quotePrefix="0" xfId="0"/>
    <xf numFmtId="166" fontId="0" fillId="5" borderId="107" pivotButton="0" quotePrefix="0" xfId="0"/>
    <xf numFmtId="0" fontId="0" fillId="5" borderId="108" pivotButton="0" quotePrefix="0" xfId="0"/>
    <xf numFmtId="49" fontId="0" fillId="5" borderId="109" pivotButton="0" quotePrefix="0" xfId="0"/>
    <xf numFmtId="0" fontId="0" fillId="5" borderId="110" pivotButton="0" quotePrefix="0" xfId="0"/>
    <xf numFmtId="0" fontId="0" fillId="5" borderId="111" pivotButton="0" quotePrefix="0" xfId="0"/>
    <xf numFmtId="0" fontId="0" fillId="5" borderId="112" pivotButton="0" quotePrefix="0" xfId="0"/>
    <xf numFmtId="0" fontId="0" fillId="5" borderId="113" pivotButton="0" quotePrefix="0" xfId="0"/>
    <xf numFmtId="0" fontId="0" fillId="5" borderId="114" applyAlignment="1" pivotButton="0" quotePrefix="0" xfId="0">
      <alignment horizontal="right"/>
    </xf>
    <xf numFmtId="49" fontId="3" fillId="4" borderId="0" pivotButton="0" quotePrefix="0" xfId="0"/>
    <xf numFmtId="166" fontId="3" fillId="4" borderId="0" pivotButton="0" quotePrefix="0" xfId="0"/>
    <xf numFmtId="0" fontId="0" fillId="13" borderId="43" pivotButton="0" quotePrefix="0" xfId="0"/>
    <xf numFmtId="0" fontId="3" fillId="4" borderId="20" applyAlignment="1" pivotButton="0" quotePrefix="0" xfId="0">
      <alignment horizontal="center" vertical="center" textRotation="90"/>
    </xf>
    <xf numFmtId="0" fontId="3" fillId="4" borderId="24" applyAlignment="1" pivotButton="0" quotePrefix="0" xfId="0">
      <alignment horizontal="center" vertical="center" textRotation="90"/>
    </xf>
    <xf numFmtId="0" fontId="4" fillId="4" borderId="14" applyAlignment="1" pivotButton="0" quotePrefix="0" xfId="0">
      <alignment horizontal="center" vertical="center" textRotation="90"/>
    </xf>
    <xf numFmtId="0" fontId="3" fillId="4" borderId="16" applyAlignment="1" pivotButton="0" quotePrefix="0" xfId="0">
      <alignment horizontal="center" vertical="center" textRotation="90"/>
    </xf>
    <xf numFmtId="0" fontId="3" fillId="4" borderId="18" applyAlignment="1" pivotButton="0" quotePrefix="0" xfId="0">
      <alignment horizontal="center" vertical="center" textRotation="90"/>
    </xf>
    <xf numFmtId="0" fontId="4" fillId="4" borderId="20" applyAlignment="1" pivotButton="0" quotePrefix="0" xfId="0">
      <alignment horizontal="center" vertical="center" textRotation="90"/>
    </xf>
    <xf numFmtId="0" fontId="3" fillId="4" borderId="22" applyAlignment="1" pivotButton="0" quotePrefix="0" xfId="0">
      <alignment horizontal="center" vertical="center" textRotation="90"/>
    </xf>
    <xf numFmtId="0" fontId="3" fillId="4" borderId="14" applyAlignment="1" pivotButton="0" quotePrefix="0" xfId="0">
      <alignment horizontal="center" vertical="center" textRotation="90"/>
    </xf>
    <xf numFmtId="0" fontId="7" fillId="3" borderId="0" pivotButton="0" quotePrefix="0" xfId="0"/>
    <xf numFmtId="0" fontId="8" fillId="3" borderId="0" pivotButton="0" quotePrefix="0" xfId="0"/>
    <xf numFmtId="0" fontId="6" fillId="4" borderId="11" applyAlignment="1" pivotButton="0" quotePrefix="0" xfId="0">
      <alignment horizontal="center" vertical="center" wrapText="1"/>
    </xf>
    <xf numFmtId="0" fontId="6" fillId="4" borderId="12" applyAlignment="1" pivotButton="0" quotePrefix="0" xfId="0">
      <alignment horizontal="center" vertical="center" wrapText="1"/>
    </xf>
    <xf numFmtId="0" fontId="6" fillId="4" borderId="13" applyAlignment="1" pivotButton="0" quotePrefix="0" xfId="0">
      <alignment horizontal="center"/>
    </xf>
    <xf numFmtId="0" fontId="6" fillId="2" borderId="0" pivotButton="0" quotePrefix="0" xfId="0"/>
    <xf numFmtId="0" fontId="0" fillId="0" borderId="116" pivotButton="0" quotePrefix="0" xfId="0"/>
    <xf numFmtId="0" fontId="0" fillId="0" borderId="20" pivotButton="0" quotePrefix="0" xfId="0"/>
    <xf numFmtId="0" fontId="6" fillId="4" borderId="0" pivotButton="0" quotePrefix="0" xfId="0"/>
    <xf numFmtId="0" fontId="6" fillId="4" borderId="75" applyAlignment="1" pivotButton="0" quotePrefix="0" xfId="0">
      <alignment horizontal="center"/>
    </xf>
    <xf numFmtId="0" fontId="6" fillId="4" borderId="75" applyAlignment="1" pivotButton="0" quotePrefix="0" xfId="0">
      <alignment horizontal="center" vertical="center" wrapText="1"/>
    </xf>
  </cellXfs>
  <cellStyles count="1">
    <cellStyle name="Normal" xfId="0" builtinId="0"/>
  </cellStyles>
  <dxfs count="36">
    <dxf>
      <fill>
        <patternFill patternType="solid">
          <bgColor rgb="FFD6D6D6"/>
        </patternFill>
      </fill>
    </dxf>
    <dxf>
      <fill>
        <patternFill patternType="solid">
          <bgColor rgb="FFC1C1C1"/>
        </patternFill>
      </fill>
    </dxf>
    <dxf>
      <font>
        <color rgb="FFFFF2E7"/>
      </font>
      <fill>
        <patternFill patternType="solid">
          <bgColor theme="1" tint="0.499984740745262"/>
        </patternFill>
      </fill>
    </dxf>
    <dxf>
      <font>
        <color rgb="FFFFF2E7"/>
      </font>
      <fill>
        <patternFill patternType="solid">
          <bgColor theme="1" tint="0.499984740745262"/>
        </patternFill>
      </fill>
    </dxf>
    <dxf>
      <font>
        <color rgb="FFFFF2E7"/>
      </font>
      <fill>
        <patternFill patternType="solid">
          <bgColor theme="1" tint="0.499984740745262"/>
        </patternFill>
      </fill>
    </dxf>
    <dxf>
      <font>
        <color rgb="FFFFF2E7"/>
      </font>
      <fill>
        <patternFill patternType="solid">
          <bgColor theme="1" tint="0.499984740745262"/>
        </patternFill>
      </fill>
    </dxf>
    <dxf>
      <numFmt numFmtId="164" formatCode="#,##0\ [$€-1]"/>
    </dxf>
    <dxf>
      <numFmt numFmtId="164" formatCode="#,##0\ [$€-1]"/>
    </dxf>
    <dxf>
      <numFmt numFmtId="164" formatCode="#,##0\ [$€-1]"/>
    </dxf>
    <dxf>
      <numFmt numFmtId="164" formatCode="#,##0\ [$€-1]"/>
    </dxf>
    <dxf>
      <numFmt numFmtId="1" formatCode="0"/>
      <alignment horizontal="center" vertical="bottom"/>
    </dxf>
    <dxf>
      <font>
        <name val="Calibri"/>
        <charset val="238"/>
        <family val="2"/>
        <strike val="0"/>
        <outline val="0"/>
        <shadow val="0"/>
        <color rgb="FFFFF2E7"/>
        <sz val="12"/>
        <vertAlign val="baseline"/>
        <scheme val="minor"/>
      </font>
      <fill>
        <patternFill patternType="solid">
          <fgColor indexed="64"/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pivotCacheDefinition" Target="/xl/pivotCache/pivotCacheDefinition1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800" b="1" i="0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GRAD</a:t>
            </a:r>
            <a:r>
              <a:rPr lang="en-US" baseline="0"/>
              <a:t xml:space="preserve"> DE OCUPARE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800" b="1" i="0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o-RO"/>
        </a:p>
      </txPr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dk1">
                  <a:tint val="885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dk1">
                  <a:tint val="5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ro-RO"/>
              </a:p>
            </txPr>
            <dLblPos val="inEnd"/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Camere!$S$4:$S$5</f>
              <strCache>
                <ptCount val="2"/>
                <pt idx="0">
                  <v>Număr Camere Ocupate</v>
                </pt>
                <pt idx="1">
                  <v>Număr Camere Libere</v>
                </pt>
              </strCache>
            </strRef>
          </cat>
          <val>
            <numRef>
              <f>Camere!$T$4:$T$5</f>
              <numCache>
                <formatCode>General</formatCode>
                <ptCount val="2"/>
                <pt idx="0">
                  <v>38</v>
                </pt>
                <pt idx="1">
                  <v>12</v>
                </pt>
              </numCache>
            </numRef>
          </val>
        </ser>
        <dLbls>
          <dLblPos val="inEnd"/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</pieChart>
    </plotArea>
    <legend>
      <legendPos val="b"/>
      <overlay val="0"/>
      <spPr>
        <a:solidFill xmlns:a="http://schemas.openxmlformats.org/drawingml/2006/main">
          <a:schemeClr val="lt1">
            <a:alpha val="78000"/>
          </a:schemeClr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o-RO"/>
        </a:p>
      </txPr>
    </legend>
    <plotVisOnly val="1"/>
    <dispBlanksAs val="gap"/>
  </chart>
  <spPr>
    <a:solidFill xmlns:a="http://schemas.openxmlformats.org/drawingml/2006/main">
      <a:srgbClr val="F6EADE"/>
    </a:solidFill>
    <a:ln xmlns:a="http://schemas.openxmlformats.org/drawingml/2006/main" w="25400" cap="flat" cmpd="tri" algn="ctr">
      <a:solidFill>
        <a:schemeClr val="tx1">
          <a:lumMod val="65000"/>
          <a:lumOff val="3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Status vehicule</a:t>
            </a:r>
          </a:p>
        </rich>
      </tx>
    </title>
    <plotArea>
      <pieChart>
        <varyColors val="1"/>
        <ser>
          <idx val="0"/>
          <order val="0"/>
          <tx>
            <strRef>
              <f>'Camere'!O4</f>
            </strRef>
          </tx>
          <spPr>
            <a:ln xmlns:a="http://schemas.openxmlformats.org/drawingml/2006/main">
              <a:prstDash val="solid"/>
            </a:ln>
          </spPr>
          <cat>
            <numRef>
              <f>'Camere'!$N$5:$N$6</f>
            </numRef>
          </cat>
          <val>
            <numRef>
              <f>'Camere'!$O$5:$O$6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800" b="0" i="0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KILOMETRAJ FLOTĂ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800" b="0" i="0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o-RO"/>
        </a:p>
      </txPr>
    </title>
    <view3D>
      <rotX val="15"/>
      <rotY val="20"/>
      <rAngAx val="1"/>
    </view3D>
    <floor>
      <thickness val="0"/>
      <spPr>
        <a:solidFill xmlns:a="http://schemas.openxmlformats.org/drawingml/2006/main">
          <a:schemeClr val="bg2">
            <a:alpha val="27000"/>
            <a:lumMod val="75000"/>
          </a:schemeClr>
        </a:solidFill>
        <a:ln xmlns:a="http://schemas.openxmlformats.org/drawingml/2006/main">
          <a:noFill/>
          <a:prstDash val="solid"/>
        </a:ln>
        <a:sp3d xmlns:a="http://schemas.openxmlformats.org/drawingml/2006/main"/>
      </spPr>
    </floor>
    <side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sideWall>
    <back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backWall>
    <plotArea>
      <layout/>
      <bar3DChart>
        <barDir val="col"/>
        <grouping val="clustere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tint val="40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tint val="40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tint val="49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tint val="49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4">
                  <a:tint val="58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tint val="58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4">
                  <a:tint val="68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tint val="68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Pt>
            <idx val="4"/>
            <invertIfNegative val="0"/>
            <bubble3D val="0"/>
            <spPr>
              <a:solidFill xmlns:a="http://schemas.openxmlformats.org/drawingml/2006/main">
                <a:schemeClr val="accent4">
                  <a:tint val="77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tint val="77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chemeClr val="accent4">
                  <a:tint val="86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tint val="86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Pt>
            <idx val="6"/>
            <invertIfNegative val="0"/>
            <bubble3D val="0"/>
            <spPr>
              <a:solidFill xmlns:a="http://schemas.openxmlformats.org/drawingml/2006/main">
                <a:schemeClr val="accent4">
                  <a:tint val="96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tint val="96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Pt>
            <idx val="7"/>
            <invertIfNegative val="0"/>
            <bubble3D val="0"/>
            <spPr>
              <a:solidFill xmlns:a="http://schemas.openxmlformats.org/drawingml/2006/main">
                <a:schemeClr val="accent4">
                  <a:shade val="95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shade val="95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Pt>
            <idx val="8"/>
            <invertIfNegative val="0"/>
            <bubble3D val="0"/>
            <spPr>
              <a:solidFill xmlns:a="http://schemas.openxmlformats.org/drawingml/2006/main">
                <a:schemeClr val="accent4">
                  <a:shade val="86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shade val="86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Pt>
            <idx val="9"/>
            <invertIfNegative val="0"/>
            <bubble3D val="0"/>
            <spPr>
              <a:solidFill xmlns:a="http://schemas.openxmlformats.org/drawingml/2006/main">
                <a:schemeClr val="accent4">
                  <a:shade val="76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shade val="76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Pt>
            <idx val="10"/>
            <invertIfNegative val="0"/>
            <bubble3D val="0"/>
            <spPr>
              <a:solidFill xmlns:a="http://schemas.openxmlformats.org/drawingml/2006/main">
                <a:schemeClr val="accent4">
                  <a:shade val="67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shade val="67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Pt>
            <idx val="11"/>
            <invertIfNegative val="0"/>
            <bubble3D val="0"/>
            <spPr>
              <a:solidFill xmlns:a="http://schemas.openxmlformats.org/drawingml/2006/main">
                <a:schemeClr val="accent4">
                  <a:shade val="58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shade val="58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Pt>
            <idx val="12"/>
            <invertIfNegative val="0"/>
            <bubble3D val="0"/>
            <spPr>
              <a:solidFill xmlns:a="http://schemas.openxmlformats.org/drawingml/2006/main">
                <a:schemeClr val="accent4">
                  <a:shade val="48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shade val="48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Pt>
            <idx val="13"/>
            <invertIfNegative val="0"/>
            <bubble3D val="0"/>
            <spPr>
              <a:solidFill xmlns:a="http://schemas.openxmlformats.org/drawingml/2006/main">
                <a:schemeClr val="accent4">
                  <a:shade val="39000"/>
                  <a:alpha val="88000"/>
                </a:schemeClr>
              </a:solidFill>
              <a:ln xmlns:a="http://schemas.openxmlformats.org/drawingml/2006/main">
                <a:solidFill>
                  <a:schemeClr val="accent4">
                    <a:shade val="39000"/>
                    <a:lumMod val="50000"/>
                  </a:schemeClr>
                </a:solidFill>
                <a:prstDash val="solid"/>
              </a:ln>
              <scene3d>
                <camera prst="orthographicFront"/>
                <lightRig rig="threePt" dir="t"/>
              </scene3d>
              <a:sp3d xmlns:a="http://schemas.openxmlformats.org/drawingml/2006/main" prstMaterial="flat">
                <contourClr rgb="00000000"/>
              </a:sp3d>
            </spPr>
          </dPt>
          <dLbls>
            <dLbl>
              <idx val="0"/>
              <spPr>
                <a:solidFill xmlns:a="http://schemas.openxmlformats.org/drawingml/2006/main">
                  <a:schemeClr val="accent4">
                    <a:tint val="40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pPr>
                <a:solidFill xmlns:a="http://schemas.openxmlformats.org/drawingml/2006/main">
                  <a:schemeClr val="accent4">
                    <a:tint val="49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pPr>
                <a:solidFill xmlns:a="http://schemas.openxmlformats.org/drawingml/2006/main">
                  <a:schemeClr val="accent4">
                    <a:tint val="58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pPr>
                <a:solidFill xmlns:a="http://schemas.openxmlformats.org/drawingml/2006/main">
                  <a:schemeClr val="accent4">
                    <a:tint val="68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pPr>
                <a:solidFill xmlns:a="http://schemas.openxmlformats.org/drawingml/2006/main">
                  <a:schemeClr val="accent4">
                    <a:tint val="77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pPr>
                <a:solidFill xmlns:a="http://schemas.openxmlformats.org/drawingml/2006/main">
                  <a:schemeClr val="accent4">
                    <a:tint val="86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pPr>
                <a:solidFill xmlns:a="http://schemas.openxmlformats.org/drawingml/2006/main">
                  <a:schemeClr val="accent4">
                    <a:tint val="96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7"/>
              <spPr>
                <a:solidFill xmlns:a="http://schemas.openxmlformats.org/drawingml/2006/main">
                  <a:schemeClr val="accent4">
                    <a:shade val="95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8"/>
              <spPr>
                <a:solidFill xmlns:a="http://schemas.openxmlformats.org/drawingml/2006/main">
                  <a:schemeClr val="accent4">
                    <a:shade val="86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9"/>
              <spPr>
                <a:solidFill xmlns:a="http://schemas.openxmlformats.org/drawingml/2006/main">
                  <a:schemeClr val="accent4">
                    <a:shade val="76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0"/>
              <spPr>
                <a:solidFill xmlns:a="http://schemas.openxmlformats.org/drawingml/2006/main">
                  <a:schemeClr val="accent4">
                    <a:shade val="67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"/>
              <spPr>
                <a:solidFill xmlns:a="http://schemas.openxmlformats.org/drawingml/2006/main">
                  <a:schemeClr val="accent4">
                    <a:shade val="58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2"/>
              <spPr>
                <a:solidFill xmlns:a="http://schemas.openxmlformats.org/drawingml/2006/main">
                  <a:schemeClr val="accent4">
                    <a:shade val="48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3"/>
              <spPr>
                <a:solidFill xmlns:a="http://schemas.openxmlformats.org/drawingml/2006/main">
                  <a:schemeClr val="accent4">
                    <a:shade val="39000"/>
                    <a:alpha val="30000"/>
                  </a:schemeClr>
                </a:solidFill>
                <a:ln xmlns:a="http://schemas.openxmlformats.org/drawingml/2006/main">
                  <a:solidFill>
                    <a:schemeClr val="lt1">
                      <a:alpha val="50000"/>
                    </a:schemeClr>
                  </a:solidFill>
                  <a:prstDash val="solid"/>
                  <a:round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1" i="0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ro-R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ysClr val="window" lastClr="FFFFFF">
                    <a:alpha val="50000"/>
                  </a:sysClr>
                </a:solidFill>
                <a:prstDash val="solid"/>
                <a:round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'Autovehicule Transport Aproviz'!$L$5:$L$18</f>
              <numCache>
                <formatCode>#,##0</formatCode>
                <ptCount val="14"/>
                <pt idx="0">
                  <v>46987</v>
                </pt>
                <pt idx="1">
                  <v>34099</v>
                </pt>
                <pt idx="2">
                  <v>54898</v>
                </pt>
                <pt idx="3">
                  <v>21453</v>
                </pt>
                <pt idx="4">
                  <v>76987</v>
                </pt>
                <pt idx="5">
                  <v>20942</v>
                </pt>
                <pt idx="6">
                  <v>12554</v>
                </pt>
                <pt idx="7">
                  <v>40876</v>
                </pt>
                <pt idx="8">
                  <v>121987</v>
                </pt>
                <pt idx="9">
                  <v>89008</v>
                </pt>
                <pt idx="10">
                  <v>83957</v>
                </pt>
                <pt idx="11">
                  <v>9769</v>
                </pt>
                <pt idx="12">
                  <v>7654</v>
                </pt>
                <pt idx="13">
                  <v>12887</v>
                </pt>
              </numCache>
            </numRef>
          </val>
          <shape val="coneToMax"/>
        </ser>
        <dLbls>
          <showLegendKey val="0"/>
          <showVal val="1"/>
          <showCatName val="0"/>
          <showSerName val="0"/>
          <showPercent val="0"/>
          <showBubbleSize val="0"/>
        </dLbls>
        <gapWidth val="84"/>
        <gapDepth val="53"/>
        <shape val="box"/>
        <axId val="1996875983"/>
        <axId val="1996877615"/>
      </bar3DChart>
      <catAx>
        <axId val="1996875983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o-RO"/>
          </a:p>
        </txPr>
        <crossAx val="1996877615"/>
        <crosses val="autoZero"/>
        <auto val="1"/>
        <lblAlgn val="ctr"/>
        <lblOffset val="100"/>
        <noMultiLvlLbl val="0"/>
      </catAx>
      <valAx>
        <axId val="1996877615"/>
        <scaling>
          <orientation val="minMax"/>
        </scaling>
        <delete val="1"/>
        <axPos val="l"/>
        <numFmt formatCode="#,##0" sourceLinked="1"/>
        <majorTickMark val="out"/>
        <minorTickMark val="none"/>
        <tickLblPos val="nextTo"/>
        <crossAx val="199687598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dk1">
        <a:lumMod val="75000"/>
        <a:lumOff val="25000"/>
      </a:schemeClr>
    </a:solidFill>
    <a:ln xmlns:a="http://schemas.openxmlformats.org/drawingml/2006/main" w="6350" cap="flat" cmpd="sng" algn="ctr">
      <a:solidFill>
        <a:schemeClr val="dk1">
          <a:tint val="7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Curse pe luni (vehicul 1)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'Nr nopți ocpt in prima jum an'!$G$4:$L$4</f>
            </numRef>
          </cat>
          <val>
            <numRef>
              <f>'Nr nopți ocpt in prima jum an'!$G$5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'Nr nopți ocpt in prima jum an'!$G$4:$L$4</f>
            </numRef>
          </cat>
          <val>
            <numRef>
              <f>'Nr nopți ocpt in prima jum an'!$H$5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'Nr nopți ocpt in prima jum an'!$G$4:$L$4</f>
            </numRef>
          </cat>
          <val>
            <numRef>
              <f>'Nr nopți ocpt in prima jum an'!$I$5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'Nr nopți ocpt in prima jum an'!$G$4:$L$4</f>
            </numRef>
          </cat>
          <val>
            <numRef>
              <f>'Nr nopți ocpt in prima jum an'!$J$5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'Nr nopți ocpt in prima jum an'!$G$4:$L$4</f>
            </numRef>
          </cat>
          <val>
            <numRef>
              <f>'Nr nopți ocpt in prima jum an'!$K$5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'Nr nopți ocpt in prima jum an'!$G$4:$L$4</f>
            </numRef>
          </cat>
          <val>
            <numRef>
              <f>'Nr nopți ocpt in prima jum an'!$L$5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Luna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Numar curse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curse per vehicul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'Nr nopți ocpt in prima jum an'!M4</f>
            </strRef>
          </tx>
          <spPr>
            <a:ln xmlns:a="http://schemas.openxmlformats.org/drawingml/2006/main">
              <a:prstDash val="solid"/>
            </a:ln>
          </spPr>
          <cat>
            <numRef>
              <f>'Nr nopți ocpt in prima jum an'!$D$5:$D$20</f>
            </numRef>
          </cat>
          <val>
            <numRef>
              <f>'Nr nopți ocpt in prima jum an'!$M$5:$M$20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Vehicul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Curse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pivotSource>
    <name>[Grand-Hotel du Cote d'Azur.xlsx]PT Raport Prima Jum An !PivotTable1</name>
    <fmtId val="1"/>
  </pivotSource>
  <chart>
    <pivotFmts>
      <pivotFmt>
        <idx val="0"/>
        <spPr>
          <a:solidFill xmlns:a="http://schemas.openxmlformats.org/drawingml/2006/main">
            <a:schemeClr val="accent4">
              <a:alpha val="88000"/>
            </a:schemeClr>
          </a:solidFill>
          <a:ln xmlns:a="http://schemas.openxmlformats.org/drawingml/2006/main">
            <a:solidFill>
              <a:schemeClr val="accent4">
                <a:lumMod val="50000"/>
              </a:schemeClr>
            </a:solidFill>
            <a:prstDash val="solid"/>
          </a:ln>
          <scene3d>
            <camera prst="orthographicFront"/>
            <lightRig rig="threePt" dir="t"/>
          </scene3d>
          <a:sp3d xmlns:a="http://schemas.openxmlformats.org/drawingml/2006/main" prstMaterial="flat">
            <contourClr rgb="00000000"/>
          </a:sp3d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ysClr val="window" lastClr="FFFFFF">
                  <a:alpha val="50000"/>
                </a:sysClr>
              </a:solidFill>
              <a:prstDash val="solid"/>
              <a:round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1" i="0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ro-RO"/>
            </a:p>
          </txPr>
          <showLegendKey val="0"/>
          <showVal val="1"/>
          <showCatName val="0"/>
          <showSerName val="0"/>
          <showPercent val="0"/>
          <showBubbleSize val="0"/>
        </dLbl>
      </pivotFmt>
      <pivotFmt>
        <idx val="1"/>
        <spPr>
          <a:solidFill xmlns:a="http://schemas.openxmlformats.org/drawingml/2006/main">
            <a:schemeClr val="accent4">
              <a:alpha val="88000"/>
            </a:schemeClr>
          </a:solidFill>
          <a:ln xmlns:a="http://schemas.openxmlformats.org/drawingml/2006/main">
            <a:solidFill>
              <a:schemeClr val="accent4">
                <a:lumMod val="50000"/>
              </a:schemeClr>
            </a:solidFill>
            <a:prstDash val="solid"/>
          </a:ln>
          <scene3d>
            <camera prst="orthographicFront"/>
            <lightRig rig="threePt" dir="t"/>
          </scene3d>
          <a:sp3d xmlns:a="http://schemas.openxmlformats.org/drawingml/2006/main" prstMaterial="flat">
            <contourClr rgb="00000000"/>
          </a:sp3d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ysClr val="window" lastClr="FFFFFF">
                  <a:alpha val="50000"/>
                </a:sysClr>
              </a:solidFill>
              <a:prstDash val="solid"/>
              <a:round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1" i="0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ro-RO"/>
            </a:p>
          </txPr>
          <showLegendKey val="0"/>
          <showVal val="1"/>
          <showCatName val="0"/>
          <showSerName val="0"/>
          <showPercent val="0"/>
          <showBubbleSize val="0"/>
        </dLbl>
      </pivotFmt>
      <pivotFmt>
        <idx val="2"/>
        <spPr>
          <a:solidFill xmlns:a="http://schemas.openxmlformats.org/drawingml/2006/main">
            <a:schemeClr val="accent4">
              <a:alpha val="88000"/>
            </a:schemeClr>
          </a:solidFill>
          <a:ln xmlns:a="http://schemas.openxmlformats.org/drawingml/2006/main">
            <a:solidFill>
              <a:schemeClr val="accent4">
                <a:lumMod val="50000"/>
              </a:schemeClr>
            </a:solidFill>
            <a:prstDash val="solid"/>
          </a:ln>
          <scene3d>
            <camera prst="orthographicFront"/>
            <lightRig rig="threePt" dir="t"/>
          </scene3d>
          <a:sp3d xmlns:a="http://schemas.openxmlformats.org/drawingml/2006/main" prstMaterial="flat">
            <contourClr rgb="00000000"/>
          </a:sp3d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ysClr val="window" lastClr="FFFFFF">
                  <a:alpha val="50000"/>
                </a:sysClr>
              </a:solidFill>
              <a:prstDash val="solid"/>
              <a:round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1" i="0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ro-RO"/>
            </a:p>
          </txPr>
          <showLegendKey val="0"/>
          <showVal val="1"/>
          <showCatName val="0"/>
          <showSerName val="0"/>
          <showPercent val="0"/>
          <showBubbleSize val="0"/>
        </dLbl>
      </pivotFmt>
      <pivotFmt>
        <idx val="3"/>
        <spPr>
          <a:solidFill xmlns:a="http://schemas.openxmlformats.org/drawingml/2006/main">
            <a:schemeClr val="accent4">
              <a:alpha val="88000"/>
            </a:schemeClr>
          </a:solidFill>
          <a:ln xmlns:a="http://schemas.openxmlformats.org/drawingml/2006/main">
            <a:solidFill>
              <a:schemeClr val="accent4">
                <a:lumMod val="50000"/>
              </a:schemeClr>
            </a:solidFill>
            <a:prstDash val="solid"/>
          </a:ln>
          <scene3d>
            <camera prst="orthographicFront"/>
            <lightRig rig="threePt" dir="t"/>
          </scene3d>
          <a:sp3d xmlns:a="http://schemas.openxmlformats.org/drawingml/2006/main" prstMaterial="flat">
            <contourClr rgb="00000000"/>
          </a:sp3d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ysClr val="window" lastClr="FFFFFF">
                  <a:alpha val="50000"/>
                </a:sysClr>
              </a:solidFill>
              <a:prstDash val="solid"/>
              <a:round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1" i="0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ro-RO"/>
            </a:p>
          </txPr>
          <showLegendKey val="0"/>
          <showVal val="1"/>
          <showCatName val="0"/>
          <showSerName val="0"/>
          <showPercent val="0"/>
          <showBubbleSize val="0"/>
        </dLbl>
      </pivotFmt>
      <pivotFmt>
        <idx val="4"/>
        <spPr>
          <a:solidFill xmlns:a="http://schemas.openxmlformats.org/drawingml/2006/main">
            <a:schemeClr val="accent4">
              <a:alpha val="88000"/>
            </a:schemeClr>
          </a:solidFill>
          <a:ln xmlns:a="http://schemas.openxmlformats.org/drawingml/2006/main">
            <a:solidFill>
              <a:schemeClr val="accent4">
                <a:lumMod val="50000"/>
              </a:schemeClr>
            </a:solidFill>
            <a:prstDash val="solid"/>
          </a:ln>
          <scene3d>
            <camera prst="orthographicFront"/>
            <lightRig rig="threePt" dir="t"/>
          </scene3d>
          <a:sp3d xmlns:a="http://schemas.openxmlformats.org/drawingml/2006/main" prstMaterial="flat">
            <contourClr rgb="00000000"/>
          </a:sp3d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ysClr val="window" lastClr="FFFFFF">
                  <a:alpha val="50000"/>
                </a:sysClr>
              </a:solidFill>
              <a:prstDash val="solid"/>
              <a:round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1" i="0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ro-RO"/>
            </a:p>
          </txPr>
          <showLegendKey val="0"/>
          <showVal val="1"/>
          <showCatName val="0"/>
          <showSerName val="0"/>
          <showPercent val="0"/>
          <showBubbleSize val="0"/>
        </dLbl>
      </pivotFmt>
      <pivotFmt>
        <idx val="5"/>
        <spPr>
          <a:solidFill xmlns:a="http://schemas.openxmlformats.org/drawingml/2006/main">
            <a:schemeClr val="accent4">
              <a:alpha val="88000"/>
            </a:schemeClr>
          </a:solidFill>
          <a:ln xmlns:a="http://schemas.openxmlformats.org/drawingml/2006/main">
            <a:solidFill>
              <a:schemeClr val="accent4">
                <a:lumMod val="50000"/>
              </a:schemeClr>
            </a:solidFill>
            <a:prstDash val="solid"/>
          </a:ln>
          <scene3d>
            <camera prst="orthographicFront"/>
            <lightRig rig="threePt" dir="t"/>
          </scene3d>
          <a:sp3d xmlns:a="http://schemas.openxmlformats.org/drawingml/2006/main" prstMaterial="flat">
            <contourClr rgb="00000000"/>
          </a:sp3d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ysClr val="window" lastClr="FFFFFF">
                  <a:alpha val="50000"/>
                </a:sysClr>
              </a:solidFill>
              <a:prstDash val="solid"/>
              <a:round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1" i="0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ro-RO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view3D>
      <rotX val="15"/>
      <rotY val="20"/>
      <rAngAx val="1"/>
    </view3D>
    <floor>
      <thickness val="0"/>
      <spPr>
        <a:solidFill xmlns:a="http://schemas.openxmlformats.org/drawingml/2006/main">
          <a:schemeClr val="bg2">
            <a:alpha val="27000"/>
            <a:lumMod val="75000"/>
          </a:schemeClr>
        </a:solidFill>
        <a:ln xmlns:a="http://schemas.openxmlformats.org/drawingml/2006/main">
          <a:noFill/>
          <a:prstDash val="solid"/>
        </a:ln>
        <a:sp3d xmlns:a="http://schemas.openxmlformats.org/drawingml/2006/main"/>
      </spPr>
    </floor>
    <side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sideWall>
    <back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backWall>
    <plotArea>
      <layout>
        <manualLayout>
          <layoutTarget val="inner"/>
          <xMode val="edge"/>
          <yMode val="edge"/>
          <wMode val="factor"/>
          <hMode val="factor"/>
          <x val="0.04736506702094336"/>
          <y val="0.04712812960235641"/>
          <w val="0.824724301437629"/>
          <h val="0.8992687254299399"/>
        </manualLayout>
      </layout>
      <bar3DChart>
        <barDir val="col"/>
        <grouping val="clustered"/>
        <varyColors val="0"/>
        <ser>
          <idx val="0"/>
          <order val="0"/>
          <tx>
            <strRef>
              <f>'PT Raport Prima Jum An '!$BO$90</f>
              <strCache>
                <ptCount val="1"/>
                <pt idx="0">
                  <v>Sum of Ianuarie</v>
                </pt>
              </strCache>
            </strRef>
          </tx>
          <spPr>
            <a:solidFill xmlns:a="http://schemas.openxmlformats.org/drawingml/2006/main">
              <a:schemeClr val="accent4">
                <a:shade val="50000"/>
                <a:alpha val="88000"/>
              </a:schemeClr>
            </a:solidFill>
            <a:ln xmlns:a="http://schemas.openxmlformats.org/drawingml/2006/main">
              <a:solidFill>
                <a:schemeClr val="accent4">
                  <a:shade val="50000"/>
                  <a:lumMod val="50000"/>
                </a:schemeClr>
              </a:solidFill>
              <a:prstDash val="solid"/>
            </a:ln>
            <scene3d>
              <camera prst="orthographicFront"/>
              <lightRig rig="threePt" dir="t"/>
            </scene3d>
            <a:sp3d xmlns:a="http://schemas.openxmlformats.org/drawingml/2006/main" prstMaterial="flat">
              <contourClr rgb="00000000"/>
            </a:sp3d>
          </spPr>
          <invertIfNegative val="0"/>
          <dLbls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ysClr val="window" lastClr="FFFFFF">
                    <a:alpha val="50000"/>
                  </a:sysClr>
                </a:solidFill>
                <a:prstDash val="solid"/>
                <a:round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ro-RO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'PT Raport Prima Jum An '!$BN$91:$BN$98</f>
              <strCache>
                <ptCount val="7"/>
                <pt idx="0">
                  <v>Cameră Delux</v>
                </pt>
                <pt idx="1">
                  <v>Cameră Palais</v>
                </pt>
                <pt idx="2">
                  <v>Cameră Superioară</v>
                </pt>
                <pt idx="3">
                  <v>Suită Delux</v>
                </pt>
                <pt idx="4">
                  <v>Suită Palais</v>
                </pt>
                <pt idx="5">
                  <v>Suită Superioară</v>
                </pt>
                <pt idx="6">
                  <v>Villa</v>
                </pt>
              </strCache>
            </strRef>
          </cat>
          <val>
            <numRef>
              <f>'PT Raport Prima Jum An '!$BO$91:$BO$98</f>
              <numCache>
                <formatCode>General</formatCode>
                <ptCount val="7"/>
                <pt idx="0">
                  <v>43</v>
                </pt>
                <pt idx="1">
                  <v>39</v>
                </pt>
                <pt idx="2">
                  <v>43</v>
                </pt>
                <pt idx="3">
                  <v>14</v>
                </pt>
                <pt idx="4">
                  <v>10</v>
                </pt>
                <pt idx="5">
                  <v>19</v>
                </pt>
                <pt idx="6">
                  <v>1</v>
                </pt>
              </numCache>
            </numRef>
          </val>
        </ser>
        <ser>
          <idx val="1"/>
          <order val="1"/>
          <tx>
            <strRef>
              <f>'PT Raport Prima Jum An '!$BP$90</f>
              <strCache>
                <ptCount val="1"/>
                <pt idx="0">
                  <v xml:space="preserve">Sum of Februarie </v>
                </pt>
              </strCache>
            </strRef>
          </tx>
          <spPr>
            <a:solidFill xmlns:a="http://schemas.openxmlformats.org/drawingml/2006/main">
              <a:schemeClr val="accent4">
                <a:shade val="70000"/>
                <a:alpha val="88000"/>
              </a:schemeClr>
            </a:solidFill>
            <a:ln xmlns:a="http://schemas.openxmlformats.org/drawingml/2006/main">
              <a:solidFill>
                <a:schemeClr val="accent4">
                  <a:shade val="70000"/>
                  <a:lumMod val="50000"/>
                </a:schemeClr>
              </a:solidFill>
              <a:prstDash val="solid"/>
            </a:ln>
            <scene3d>
              <camera prst="orthographicFront"/>
              <lightRig rig="threePt" dir="t"/>
            </scene3d>
            <a:sp3d xmlns:a="http://schemas.openxmlformats.org/drawingml/2006/main" prstMaterial="flat">
              <contourClr rgb="00000000"/>
            </a:sp3d>
          </spPr>
          <invertIfNegative val="0"/>
          <dLbls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ysClr val="window" lastClr="FFFFFF">
                    <a:alpha val="50000"/>
                  </a:sysClr>
                </a:solidFill>
                <a:prstDash val="solid"/>
                <a:round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ro-RO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'PT Raport Prima Jum An '!$BN$91:$BN$98</f>
              <strCache>
                <ptCount val="7"/>
                <pt idx="0">
                  <v>Cameră Delux</v>
                </pt>
                <pt idx="1">
                  <v>Cameră Palais</v>
                </pt>
                <pt idx="2">
                  <v>Cameră Superioară</v>
                </pt>
                <pt idx="3">
                  <v>Suită Delux</v>
                </pt>
                <pt idx="4">
                  <v>Suită Palais</v>
                </pt>
                <pt idx="5">
                  <v>Suită Superioară</v>
                </pt>
                <pt idx="6">
                  <v>Villa</v>
                </pt>
              </strCache>
            </strRef>
          </cat>
          <val>
            <numRef>
              <f>'PT Raport Prima Jum An '!$BP$91:$BP$98</f>
              <numCache>
                <formatCode>General</formatCode>
                <ptCount val="7"/>
                <pt idx="0">
                  <v>64</v>
                </pt>
                <pt idx="1">
                  <v>65</v>
                </pt>
                <pt idx="2">
                  <v>66</v>
                </pt>
                <pt idx="3">
                  <v>31</v>
                </pt>
                <pt idx="4">
                  <v>27</v>
                </pt>
                <pt idx="5">
                  <v>26</v>
                </pt>
                <pt idx="6">
                  <v>2</v>
                </pt>
              </numCache>
            </numRef>
          </val>
        </ser>
        <ser>
          <idx val="2"/>
          <order val="2"/>
          <tx>
            <strRef>
              <f>'PT Raport Prima Jum An '!$BQ$90</f>
              <strCache>
                <ptCount val="1"/>
                <pt idx="0">
                  <v xml:space="preserve">Sum of Martie </v>
                </pt>
              </strCache>
            </strRef>
          </tx>
          <spPr>
            <a:solidFill xmlns:a="http://schemas.openxmlformats.org/drawingml/2006/main">
              <a:schemeClr val="accent4">
                <a:shade val="90000"/>
                <a:alpha val="88000"/>
              </a:schemeClr>
            </a:solidFill>
            <a:ln xmlns:a="http://schemas.openxmlformats.org/drawingml/2006/main">
              <a:solidFill>
                <a:schemeClr val="accent4">
                  <a:shade val="90000"/>
                  <a:lumMod val="50000"/>
                </a:schemeClr>
              </a:solidFill>
              <a:prstDash val="solid"/>
            </a:ln>
            <scene3d>
              <camera prst="orthographicFront"/>
              <lightRig rig="threePt" dir="t"/>
            </scene3d>
            <a:sp3d xmlns:a="http://schemas.openxmlformats.org/drawingml/2006/main" prstMaterial="flat">
              <contourClr rgb="00000000"/>
            </a:sp3d>
          </spPr>
          <invertIfNegative val="0"/>
          <dLbls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ysClr val="window" lastClr="FFFFFF">
                    <a:alpha val="50000"/>
                  </a:sysClr>
                </a:solidFill>
                <a:prstDash val="solid"/>
                <a:round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ro-RO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'PT Raport Prima Jum An '!$BN$91:$BN$98</f>
              <strCache>
                <ptCount val="7"/>
                <pt idx="0">
                  <v>Cameră Delux</v>
                </pt>
                <pt idx="1">
                  <v>Cameră Palais</v>
                </pt>
                <pt idx="2">
                  <v>Cameră Superioară</v>
                </pt>
                <pt idx="3">
                  <v>Suită Delux</v>
                </pt>
                <pt idx="4">
                  <v>Suită Palais</v>
                </pt>
                <pt idx="5">
                  <v>Suită Superioară</v>
                </pt>
                <pt idx="6">
                  <v>Villa</v>
                </pt>
              </strCache>
            </strRef>
          </cat>
          <val>
            <numRef>
              <f>'PT Raport Prima Jum An '!$BQ$91:$BQ$98</f>
              <numCache>
                <formatCode>General</formatCode>
                <ptCount val="7"/>
                <pt idx="0">
                  <v>86</v>
                </pt>
                <pt idx="1">
                  <v>92</v>
                </pt>
                <pt idx="2">
                  <v>90</v>
                </pt>
                <pt idx="3">
                  <v>40</v>
                </pt>
                <pt idx="4">
                  <v>37</v>
                </pt>
                <pt idx="5">
                  <v>37</v>
                </pt>
                <pt idx="6">
                  <v>3</v>
                </pt>
              </numCache>
            </numRef>
          </val>
        </ser>
        <ser>
          <idx val="3"/>
          <order val="3"/>
          <tx>
            <strRef>
              <f>'PT Raport Prima Jum An '!$BR$90</f>
              <strCache>
                <ptCount val="1"/>
                <pt idx="0">
                  <v xml:space="preserve">Sum of Aprilie </v>
                </pt>
              </strCache>
            </strRef>
          </tx>
          <spPr>
            <a:solidFill xmlns:a="http://schemas.openxmlformats.org/drawingml/2006/main">
              <a:schemeClr val="accent4">
                <a:tint val="90000"/>
                <a:alpha val="88000"/>
              </a:schemeClr>
            </a:solidFill>
            <a:ln xmlns:a="http://schemas.openxmlformats.org/drawingml/2006/main">
              <a:solidFill>
                <a:schemeClr val="accent4">
                  <a:tint val="90000"/>
                  <a:lumMod val="50000"/>
                </a:schemeClr>
              </a:solidFill>
              <a:prstDash val="solid"/>
            </a:ln>
            <scene3d>
              <camera prst="orthographicFront"/>
              <lightRig rig="threePt" dir="t"/>
            </scene3d>
            <a:sp3d xmlns:a="http://schemas.openxmlformats.org/drawingml/2006/main" prstMaterial="flat">
              <contourClr rgb="00000000"/>
            </a:sp3d>
          </spPr>
          <invertIfNegative val="0"/>
          <dLbls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ysClr val="window" lastClr="FFFFFF">
                    <a:alpha val="50000"/>
                  </a:sysClr>
                </a:solidFill>
                <a:prstDash val="solid"/>
                <a:round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ro-RO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'PT Raport Prima Jum An '!$BN$91:$BN$98</f>
              <strCache>
                <ptCount val="7"/>
                <pt idx="0">
                  <v>Cameră Delux</v>
                </pt>
                <pt idx="1">
                  <v>Cameră Palais</v>
                </pt>
                <pt idx="2">
                  <v>Cameră Superioară</v>
                </pt>
                <pt idx="3">
                  <v>Suită Delux</v>
                </pt>
                <pt idx="4">
                  <v>Suită Palais</v>
                </pt>
                <pt idx="5">
                  <v>Suită Superioară</v>
                </pt>
                <pt idx="6">
                  <v>Villa</v>
                </pt>
              </strCache>
            </strRef>
          </cat>
          <val>
            <numRef>
              <f>'PT Raport Prima Jum An '!$BR$91:$BR$98</f>
              <numCache>
                <formatCode>General</formatCode>
                <ptCount val="7"/>
                <pt idx="0">
                  <v>140</v>
                </pt>
                <pt idx="1">
                  <v>140</v>
                </pt>
                <pt idx="2">
                  <v>131</v>
                </pt>
                <pt idx="3">
                  <v>65</v>
                </pt>
                <pt idx="4">
                  <v>60</v>
                </pt>
                <pt idx="5">
                  <v>67</v>
                </pt>
                <pt idx="6">
                  <v>7</v>
                </pt>
              </numCache>
            </numRef>
          </val>
        </ser>
        <ser>
          <idx val="4"/>
          <order val="4"/>
          <tx>
            <strRef>
              <f>'PT Raport Prima Jum An '!$BS$90</f>
              <strCache>
                <ptCount val="1"/>
                <pt idx="0">
                  <v>Sum of Mai</v>
                </pt>
              </strCache>
            </strRef>
          </tx>
          <spPr>
            <a:solidFill xmlns:a="http://schemas.openxmlformats.org/drawingml/2006/main">
              <a:schemeClr val="accent4">
                <a:tint val="70000"/>
                <a:alpha val="88000"/>
              </a:schemeClr>
            </a:solidFill>
            <a:ln xmlns:a="http://schemas.openxmlformats.org/drawingml/2006/main">
              <a:solidFill>
                <a:schemeClr val="accent4">
                  <a:tint val="70000"/>
                  <a:lumMod val="50000"/>
                </a:schemeClr>
              </a:solidFill>
              <a:prstDash val="solid"/>
            </a:ln>
            <scene3d>
              <camera prst="orthographicFront"/>
              <lightRig rig="threePt" dir="t"/>
            </scene3d>
            <a:sp3d xmlns:a="http://schemas.openxmlformats.org/drawingml/2006/main" prstMaterial="flat">
              <contourClr rgb="00000000"/>
            </a:sp3d>
          </spPr>
          <invertIfNegative val="0"/>
          <dLbls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ysClr val="window" lastClr="FFFFFF">
                    <a:alpha val="50000"/>
                  </a:sysClr>
                </a:solidFill>
                <a:prstDash val="solid"/>
                <a:round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ro-RO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'PT Raport Prima Jum An '!$BN$91:$BN$98</f>
              <strCache>
                <ptCount val="7"/>
                <pt idx="0">
                  <v>Cameră Delux</v>
                </pt>
                <pt idx="1">
                  <v>Cameră Palais</v>
                </pt>
                <pt idx="2">
                  <v>Cameră Superioară</v>
                </pt>
                <pt idx="3">
                  <v>Suită Delux</v>
                </pt>
                <pt idx="4">
                  <v>Suită Palais</v>
                </pt>
                <pt idx="5">
                  <v>Suită Superioară</v>
                </pt>
                <pt idx="6">
                  <v>Villa</v>
                </pt>
              </strCache>
            </strRef>
          </cat>
          <val>
            <numRef>
              <f>'PT Raport Prima Jum An '!$BS$91:$BS$98</f>
              <numCache>
                <formatCode>General</formatCode>
                <ptCount val="7"/>
                <pt idx="0">
                  <v>178</v>
                </pt>
                <pt idx="1">
                  <v>171</v>
                </pt>
                <pt idx="2">
                  <v>161</v>
                </pt>
                <pt idx="3">
                  <v>74</v>
                </pt>
                <pt idx="4">
                  <v>63</v>
                </pt>
                <pt idx="5">
                  <v>79</v>
                </pt>
                <pt idx="6">
                  <v>10</v>
                </pt>
              </numCache>
            </numRef>
          </val>
        </ser>
        <ser>
          <idx val="5"/>
          <order val="5"/>
          <tx>
            <strRef>
              <f>'PT Raport Prima Jum An '!$BT$90</f>
              <strCache>
                <ptCount val="1"/>
                <pt idx="0">
                  <v>Sum of Iunie</v>
                </pt>
              </strCache>
            </strRef>
          </tx>
          <spPr>
            <a:solidFill xmlns:a="http://schemas.openxmlformats.org/drawingml/2006/main">
              <a:schemeClr val="accent4">
                <a:tint val="50000"/>
                <a:alpha val="88000"/>
              </a:schemeClr>
            </a:solidFill>
            <a:ln xmlns:a="http://schemas.openxmlformats.org/drawingml/2006/main">
              <a:solidFill>
                <a:schemeClr val="accent4">
                  <a:tint val="50000"/>
                  <a:lumMod val="50000"/>
                </a:schemeClr>
              </a:solidFill>
              <a:prstDash val="solid"/>
            </a:ln>
            <scene3d>
              <camera prst="orthographicFront"/>
              <lightRig rig="threePt" dir="t"/>
            </scene3d>
            <a:sp3d xmlns:a="http://schemas.openxmlformats.org/drawingml/2006/main" prstMaterial="flat">
              <contourClr rgb="00000000"/>
            </a:sp3d>
          </spPr>
          <invertIfNegative val="0"/>
          <dLbls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ysClr val="window" lastClr="FFFFFF">
                    <a:alpha val="50000"/>
                  </a:sysClr>
                </a:solidFill>
                <a:prstDash val="solid"/>
                <a:round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ro-RO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'PT Raport Prima Jum An '!$BN$91:$BN$98</f>
              <strCache>
                <ptCount val="7"/>
                <pt idx="0">
                  <v>Cameră Delux</v>
                </pt>
                <pt idx="1">
                  <v>Cameră Palais</v>
                </pt>
                <pt idx="2">
                  <v>Cameră Superioară</v>
                </pt>
                <pt idx="3">
                  <v>Suită Delux</v>
                </pt>
                <pt idx="4">
                  <v>Suită Palais</v>
                </pt>
                <pt idx="5">
                  <v>Suită Superioară</v>
                </pt>
                <pt idx="6">
                  <v>Villa</v>
                </pt>
              </strCache>
            </strRef>
          </cat>
          <val>
            <numRef>
              <f>'PT Raport Prima Jum An '!$BT$91:$BT$98</f>
              <numCache>
                <formatCode>General</formatCode>
                <ptCount val="7"/>
                <pt idx="0">
                  <v>198</v>
                </pt>
                <pt idx="1">
                  <v>190</v>
                </pt>
                <pt idx="2">
                  <v>209</v>
                </pt>
                <pt idx="3">
                  <v>92</v>
                </pt>
                <pt idx="4">
                  <v>90</v>
                </pt>
                <pt idx="5">
                  <v>101</v>
                </pt>
                <pt idx="6">
                  <v>12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84"/>
        <gapDepth val="53"/>
        <shape val="box"/>
        <axId val="273284240"/>
        <axId val="1977678767"/>
      </bar3DChart>
      <catAx>
        <axId val="2732842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o-RO"/>
          </a:p>
        </txPr>
        <crossAx val="1977678767"/>
        <crosses val="autoZero"/>
        <auto val="1"/>
        <lblAlgn val="ctr"/>
        <lblOffset val="100"/>
        <noMultiLvlLbl val="0"/>
      </catAx>
      <valAx>
        <axId val="1977678767"/>
        <scaling>
          <orientation val="minMax"/>
        </scaling>
        <delete val="1"/>
        <axPos val="l"/>
        <numFmt formatCode="General" sourceLinked="1"/>
        <majorTickMark val="out"/>
        <minorTickMark val="none"/>
        <tickLblPos val="nextTo"/>
        <crossAx val="273284240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8887177170319032"/>
          <y val="0.1200282954321432"/>
          <w val="0.1037160786805811"/>
          <h val="0.686305474702260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o-RO"/>
        </a:p>
      </txPr>
    </legend>
    <plotVisOnly val="1"/>
    <dispBlanksAs val="gap"/>
  </chart>
  <spPr>
    <a:solidFill xmlns:a="http://schemas.openxmlformats.org/drawingml/2006/main">
      <a:schemeClr val="dk1">
        <a:lumMod val="75000"/>
        <a:lumOff val="25000"/>
      </a:schemeClr>
    </a:solidFill>
    <a:ln xmlns:a="http://schemas.openxmlformats.org/drawingml/2006/main" w="6350" cap="flat" cmpd="sng" algn="ctr">
      <a:solidFill>
        <a:schemeClr val="dk1">
          <a:tint val="7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curse pe tip vehicul</a:t>
            </a:r>
          </a:p>
        </rich>
      </tx>
    </title>
    <view3D>
      <rotX val="15"/>
      <rotY val="20"/>
      <rAngAx val="1"/>
    </view3D>
    <floor/>
    <sideWall/>
    <backWall/>
    <plotArea>
      <bar3DChart>
        <barDir val="col"/>
        <grouping val="clustered"/>
        <ser>
          <idx val="0"/>
          <order val="0"/>
          <tx>
            <strRef>
              <f>'PT Raport Prima Jum An '!K4</f>
            </strRef>
          </tx>
          <spPr>
            <a:ln xmlns:a="http://schemas.openxmlformats.org/drawingml/2006/main">
              <a:prstDash val="solid"/>
            </a:ln>
          </spPr>
          <cat>
            <numRef>
              <f>'PT Raport Prima Jum An '!$D$5:$D$11</f>
            </numRef>
          </cat>
          <val>
            <numRef>
              <f>'PT Raport Prima Jum An '!$K$5:$K$11</f>
            </numRef>
          </val>
        </ser>
        <gapWidth val="150"/>
        <gapDepth val="150"/>
        <axId val="10"/>
        <axId val="100"/>
        <axId val="1000"/>
      </bar3D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</a:t>
                </a:r>
              </a:p>
            </rich>
          </tx>
        </title>
        <majorTickMark val="none"/>
        <minorTickMark val="none"/>
        <crossAx val="10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ANGAJAȚI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o-RO"/>
        </a:p>
      </txPr>
    </title>
    <view3D>
      <rotX val="15"/>
      <rotY val="20"/>
      <rAngAx val="1"/>
    </view3D>
    <floor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floor>
    <side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sideWall>
    <back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backWall>
    <plotArea>
      <layout/>
      <bar3D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3">
                <a:shade val="76000"/>
              </a:schemeClr>
            </a:solidFill>
            <a:ln xmlns:a="http://schemas.openxmlformats.org/drawingml/2006/main">
              <a:noFill/>
              <a:prstDash val="solid"/>
            </a:ln>
            <a:sp3d xmlns:a="http://schemas.openxmlformats.org/drawingml/2006/main"/>
          </spPr>
          <invertIfNegative val="0"/>
          <cat>
            <strRef>
              <f>Angajati!$F$47:$G$47</f>
              <strCache>
                <ptCount val="2"/>
                <pt idx="0">
                  <v>Angajați femei</v>
                </pt>
                <pt idx="1">
                  <v>Angajați bărbați</v>
                </pt>
              </strCache>
            </strRef>
          </cat>
          <val>
            <numRef>
              <f>Angajati!$F$48:$G$48</f>
              <numCache>
                <formatCode>General</formatCode>
                <ptCount val="2"/>
                <pt idx="0">
                  <v>13</v>
                </pt>
                <pt idx="1">
                  <v>25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3">
                <a:tint val="77000"/>
              </a:schemeClr>
            </a:solidFill>
            <a:ln xmlns:a="http://schemas.openxmlformats.org/drawingml/2006/main">
              <a:noFill/>
              <a:prstDash val="solid"/>
            </a:ln>
            <a:sp3d xmlns:a="http://schemas.openxmlformats.org/drawingml/2006/main"/>
          </spPr>
          <invertIfNegative val="0"/>
          <cat>
            <strRef>
              <f>Angajati!$F$47:$G$47</f>
              <strCache>
                <ptCount val="2"/>
                <pt idx="0">
                  <v>Angajați femei</v>
                </pt>
                <pt idx="1">
                  <v>Angajați bărbați</v>
                </pt>
              </strCache>
            </strRef>
          </cat>
          <val>
            <numRef>
              <f>Angajati!$F$49:$G$49</f>
              <numCache>
                <formatCode>General</formatCode>
                <ptCount val="2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1707600399"/>
        <axId val="1707642895"/>
      </bar3DChart>
      <catAx>
        <axId val="170760039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o-RO"/>
          </a:p>
        </txPr>
        <crossAx val="1707642895"/>
        <crosses val="autoZero"/>
        <auto val="1"/>
        <lblAlgn val="ctr"/>
        <lblOffset val="100"/>
        <noMultiLvlLbl val="0"/>
      </catAx>
      <valAx>
        <axId val="1707642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ro-RO"/>
          </a:p>
        </txPr>
        <crossAx val="1707600399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6EADE"/>
    </a:solidFill>
    <a:ln xmlns:a="http://schemas.openxmlformats.org/drawingml/2006/main" w="12700" cap="flat" cmpd="sng" algn="ctr">
      <a:solidFill>
        <a:schemeClr val="accent1">
          <a:alpha val="94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en-US"/>
              <a:t>VÂRSTĂ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/>
          </a:r>
          <a:endParaRPr lang="ro-RO"/>
        </a:p>
      </txPr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gradFill xmlns:a="http://schemas.openxmlformats.org/drawingml/2006/main" rotWithShape="1">
                <a:gsLst>
                  <a:gs pos="0">
                    <a:schemeClr val="accent4">
                      <a:tint val="94000"/>
                      <a:shade val="76000"/>
                      <a:satMod val="103000"/>
                      <a:lumMod val="102000"/>
                    </a:schemeClr>
                  </a:gs>
                  <a:gs pos="50000">
                    <a:schemeClr val="accent4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4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xmlns:a="http://schemas.openxmlformats.org/drawingml/2006/main">
                <a:noFill/>
                <a:prstDash val="solid"/>
              </a:ln>
            </spPr>
          </dPt>
          <dPt>
            <idx val="1"/>
            <bubble3D val="0"/>
            <spPr>
              <a:gradFill xmlns:a="http://schemas.openxmlformats.org/drawingml/2006/main" rotWithShape="1">
                <a:gsLst>
                  <a:gs pos="0">
                    <a:schemeClr val="accent4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4">
                      <a:tint val="77000"/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4">
                      <a:tint val="77000"/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xmlns:a="http://schemas.openxmlformats.org/drawingml/2006/main">
                <a:noFill/>
                <a:prstDash val="solid"/>
              </a:ln>
            </spPr>
          </dPt>
          <cat>
            <strRef>
              <f>Angajati!$I$47:$J$47</f>
              <strCache>
                <ptCount val="2"/>
                <pt idx="0">
                  <v>Vârstă sub 30</v>
                </pt>
                <pt idx="1">
                  <v>Vârstă peste 30</v>
                </pt>
              </strCache>
            </strRef>
          </cat>
          <val>
            <numRef>
              <f>Angajati!$I$48:$J$48</f>
              <numCache>
                <formatCode>General</formatCode>
                <ptCount val="2"/>
                <pt idx="0">
                  <v>18</v>
                </pt>
                <pt idx="1">
                  <v>20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ro-RO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drawing1.xml><?xml version="1.0" encoding="utf-8"?>
<wsDr xmlns="http://schemas.openxmlformats.org/drawingml/2006/spreadsheetDrawing">
  <twoCellAnchor>
    <from>
      <col>18</col>
      <colOff>28761</colOff>
      <row>11</row>
      <rowOff>0</rowOff>
    </from>
    <to>
      <col>22</col>
      <colOff>812800</colOff>
      <row>25</row>
      <rowOff>6101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oneCellAnchor>
    <from>
      <col>13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twoCellAnchor>
    <from>
      <col>5</col>
      <colOff>38100</colOff>
      <row>21</row>
      <rowOff>0</rowOff>
    </from>
    <to>
      <col>13</col>
      <colOff>825500</colOff>
      <row>39</row>
      <rowOff>127000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oneCellAnchor>
    <from>
      <col>14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twoCellAnchor>
    <from>
      <col>2</col>
      <colOff>12700</colOff>
      <row>15</row>
      <rowOff>88900</rowOff>
    </from>
    <to>
      <col>13</col>
      <colOff>12700</colOff>
      <row>36</row>
      <rowOff>133350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oneCellAnchor>
    <from>
      <col>13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twoCellAnchor>
    <from>
      <col>18</col>
      <colOff>107950</colOff>
      <row>2</row>
      <rowOff>165100</rowOff>
    </from>
    <to>
      <col>24</col>
      <colOff>292100</colOff>
      <row>16</row>
      <rowOff>107950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18</col>
      <colOff>127000</colOff>
      <row>17</row>
      <rowOff>146050</rowOff>
    </from>
    <to>
      <col>24</col>
      <colOff>317500</colOff>
      <row>31</row>
      <rowOff>44450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Microsoft Office User" refreshedDate="43839.93862928241" createdVersion="6" refreshedVersion="6" minRefreshableVersion="3" recordCount="50" r:id="rId1">
  <cacheSource type="worksheet">
    <worksheetSource name="Table6"/>
  </cacheSource>
  <cacheFields count="10">
    <cacheField name="Număr cameră" uniqueList="1" numFmtId="1" sqlType="0" hierarchy="0" level="0" databaseField="1">
      <sharedItems count="0" containsInteger="1" containsNumber="1" containsSemiMixedTypes="0" containsString="0" minValue="1" maxValue="603"/>
    </cacheField>
    <cacheField name="Tip cameră " uniqueList="1" numFmtId="0" sqlType="0" hierarchy="0" level="0" databaseField="1">
      <sharedItems count="7">
        <s v="Cameră Superioară"/>
        <s v="Cameră Delux"/>
        <s v="Cameră Palais"/>
        <s v="Suită Superioară"/>
        <s v="Suită Delux"/>
        <s v="Suită Palais"/>
        <s v="Villa"/>
      </sharedItems>
    </cacheField>
    <cacheField name="Preț/Noapte" uniqueList="1" numFmtId="164" sqlType="0" hierarchy="0" level="0" databaseField="1">
      <sharedItems count="11" containsInteger="1" containsNumber="1" containsSemiMixedTypes="0" containsString="0" minValue="245" maxValue="6545">
        <n v="245"/>
        <n v="280"/>
        <n v="465"/>
        <n v="500"/>
        <n v="685"/>
        <n v="700"/>
        <n v="845"/>
        <n v="945"/>
        <n v="1100"/>
        <n v="1645"/>
        <n v="6545"/>
      </sharedItems>
    </cacheField>
    <cacheField name="Ianuarie" uniqueList="1" numFmtId="0" sqlType="0" hierarchy="0" level="0" databaseField="1">
      <sharedItems count="0" containsInteger="1" containsNumber="1" containsSemiMixedTypes="0" containsString="0" minValue="0" maxValue="6"/>
    </cacheField>
    <cacheField name="Februarie " uniqueList="1" numFmtId="0" sqlType="0" hierarchy="0" level="0" databaseField="1">
      <sharedItems count="0" containsInteger="1" containsNumber="1" containsSemiMixedTypes="0" containsString="0" minValue="1" maxValue="8"/>
    </cacheField>
    <cacheField name="Martie " uniqueList="1" numFmtId="0" sqlType="0" hierarchy="0" level="0" databaseField="1">
      <sharedItems count="0" containsInteger="1" containsNumber="1" containsSemiMixedTypes="0" containsString="0" minValue="1" maxValue="10"/>
    </cacheField>
    <cacheField name="Aprilie " uniqueList="1" numFmtId="0" sqlType="0" hierarchy="0" level="0" databaseField="1">
      <sharedItems count="0" containsInteger="1" containsNumber="1" containsSemiMixedTypes="0" containsString="0" minValue="3" maxValue="14"/>
    </cacheField>
    <cacheField name="Mai" uniqueList="1" numFmtId="0" sqlType="0" hierarchy="0" level="0" databaseField="1">
      <sharedItems count="0" containsInteger="1" containsNumber="1" containsSemiMixedTypes="0" containsString="0" minValue="4" maxValue="18"/>
    </cacheField>
    <cacheField name="Iunie" uniqueList="1" numFmtId="0" sqlType="0" hierarchy="0" level="0" databaseField="1">
      <sharedItems count="0" containsInteger="1" containsNumber="1" containsSemiMixedTypes="0" containsString="0" minValue="5" maxValue="25"/>
    </cacheField>
    <cacheField name="Total" uniqueList="1" numFmtId="164" sqlType="0" hierarchy="0" level="0" databaseField="1">
      <sharedItems count="0" containsInteger="1" containsNumber="1" containsSemiMixedTypes="0" containsString="0" minValue="14210" maxValue="124355"/>
    </cacheField>
  </cacheFields>
</pivotCacheDefinition>
</file>

<file path=xl/pivotCache/pivotCacheRecords1.xml><?xml version="1.0" encoding="utf-8"?>
<pivotCacheRecords xmlns="http://schemas.openxmlformats.org/spreadsheetml/2006/main" count="50">
  <r>
    <n v="201"/>
    <x v="0"/>
    <x v="0"/>
    <n v="6"/>
    <n v="7"/>
    <n v="10"/>
    <n v="12"/>
    <n v="15"/>
    <n v="19"/>
    <n v="16905"/>
  </r>
  <r>
    <n v="203"/>
    <x v="0"/>
    <x v="0"/>
    <n v="5"/>
    <n v="8"/>
    <n v="9"/>
    <n v="14"/>
    <n v="11"/>
    <n v="21"/>
    <n v="16660"/>
  </r>
  <r>
    <n v="205"/>
    <x v="0"/>
    <x v="0"/>
    <n v="2"/>
    <n v="3"/>
    <n v="7"/>
    <n v="11"/>
    <n v="16"/>
    <n v="20"/>
    <n v="14455"/>
  </r>
  <r>
    <n v="301"/>
    <x v="0"/>
    <x v="0"/>
    <n v="4"/>
    <n v="6"/>
    <n v="8"/>
    <n v="11"/>
    <n v="14"/>
    <n v="19"/>
    <n v="15190"/>
  </r>
  <r>
    <n v="303"/>
    <x v="0"/>
    <x v="0"/>
    <n v="2"/>
    <n v="5"/>
    <n v="7"/>
    <n v="12"/>
    <n v="14"/>
    <n v="18"/>
    <n v="14210"/>
  </r>
  <r>
    <n v="305"/>
    <x v="0"/>
    <x v="0"/>
    <n v="4"/>
    <n v="6"/>
    <n v="8"/>
    <n v="11"/>
    <n v="15"/>
    <n v="19"/>
    <n v="15435"/>
  </r>
  <r>
    <n v="401"/>
    <x v="0"/>
    <x v="1"/>
    <n v="4"/>
    <n v="5"/>
    <n v="7"/>
    <n v="13"/>
    <n v="15"/>
    <n v="17"/>
    <n v="17080"/>
  </r>
  <r>
    <n v="403"/>
    <x v="0"/>
    <x v="0"/>
    <n v="5"/>
    <n v="7"/>
    <n v="9"/>
    <n v="12"/>
    <n v="16"/>
    <n v="20"/>
    <n v="16905"/>
  </r>
  <r>
    <n v="405"/>
    <x v="0"/>
    <x v="1"/>
    <n v="3"/>
    <n v="4"/>
    <n v="7"/>
    <n v="12"/>
    <n v="16"/>
    <n v="21"/>
    <n v="17640"/>
  </r>
  <r>
    <n v="501"/>
    <x v="0"/>
    <x v="0"/>
    <n v="4"/>
    <n v="8"/>
    <n v="8"/>
    <n v="11"/>
    <n v="15"/>
    <n v="21"/>
    <n v="16415"/>
  </r>
  <r>
    <n v="503"/>
    <x v="0"/>
    <x v="1"/>
    <n v="4"/>
    <n v="7"/>
    <n v="10"/>
    <n v="12"/>
    <n v="14"/>
    <n v="14"/>
    <n v="17080"/>
  </r>
  <r>
    <n v="202"/>
    <x v="1"/>
    <x v="2"/>
    <n v="5"/>
    <n v="6"/>
    <n v="7"/>
    <n v="14"/>
    <n v="17"/>
    <n v="13"/>
    <n v="28830"/>
  </r>
  <r>
    <n v="204"/>
    <x v="1"/>
    <x v="2"/>
    <n v="4"/>
    <n v="5"/>
    <n v="8"/>
    <n v="12"/>
    <n v="16"/>
    <n v="21"/>
    <n v="30690"/>
  </r>
  <r>
    <n v="206"/>
    <x v="1"/>
    <x v="2"/>
    <n v="2"/>
    <n v="6"/>
    <n v="9"/>
    <n v="13"/>
    <n v="15"/>
    <n v="12"/>
    <n v="26505"/>
  </r>
  <r>
    <n v="302"/>
    <x v="1"/>
    <x v="2"/>
    <n v="3"/>
    <n v="5"/>
    <n v="8"/>
    <n v="14"/>
    <n v="16"/>
    <n v="14"/>
    <n v="27900"/>
  </r>
  <r>
    <n v="304"/>
    <x v="1"/>
    <x v="2"/>
    <n v="4"/>
    <n v="4"/>
    <n v="9"/>
    <n v="14"/>
    <n v="16"/>
    <n v="21"/>
    <n v="31620"/>
  </r>
  <r>
    <n v="306"/>
    <x v="1"/>
    <x v="2"/>
    <n v="5"/>
    <n v="7"/>
    <n v="10"/>
    <n v="14"/>
    <n v="15"/>
    <n v="22"/>
    <n v="33945"/>
  </r>
  <r>
    <n v="402"/>
    <x v="1"/>
    <x v="3"/>
    <n v="5"/>
    <n v="5"/>
    <n v="7"/>
    <n v="13"/>
    <n v="17"/>
    <n v="18"/>
    <n v="32500"/>
  </r>
  <r>
    <n v="404"/>
    <x v="1"/>
    <x v="2"/>
    <n v="4"/>
    <n v="8"/>
    <n v="8"/>
    <n v="12"/>
    <n v="16"/>
    <n v="18"/>
    <n v="30690"/>
  </r>
  <r>
    <n v="406"/>
    <x v="1"/>
    <x v="3"/>
    <n v="5"/>
    <n v="5"/>
    <n v="7"/>
    <n v="12"/>
    <n v="15"/>
    <n v="19"/>
    <n v="31500"/>
  </r>
  <r>
    <n v="502"/>
    <x v="1"/>
    <x v="2"/>
    <n v="3"/>
    <n v="6"/>
    <n v="6"/>
    <n v="11"/>
    <n v="18"/>
    <n v="17"/>
    <n v="28365"/>
  </r>
  <r>
    <n v="504"/>
    <x v="1"/>
    <x v="3"/>
    <n v="3"/>
    <n v="7"/>
    <n v="7"/>
    <n v="11"/>
    <n v="17"/>
    <n v="23"/>
    <n v="34000"/>
  </r>
  <r>
    <n v="207"/>
    <x v="2"/>
    <x v="4"/>
    <n v="2"/>
    <n v="3"/>
    <n v="8"/>
    <n v="13"/>
    <n v="16"/>
    <n v="21"/>
    <n v="43155"/>
  </r>
  <r>
    <n v="208"/>
    <x v="2"/>
    <x v="4"/>
    <n v="3"/>
    <n v="5"/>
    <n v="9"/>
    <n v="12"/>
    <n v="15"/>
    <n v="14"/>
    <n v="39730"/>
  </r>
  <r>
    <n v="209"/>
    <x v="2"/>
    <x v="4"/>
    <n v="4"/>
    <n v="6"/>
    <n v="10"/>
    <n v="11"/>
    <n v="12"/>
    <n v="16"/>
    <n v="40415"/>
  </r>
  <r>
    <n v="307"/>
    <x v="2"/>
    <x v="4"/>
    <n v="2"/>
    <n v="7"/>
    <n v="10"/>
    <n v="13"/>
    <n v="15"/>
    <n v="15"/>
    <n v="42470"/>
  </r>
  <r>
    <n v="308"/>
    <x v="2"/>
    <x v="4"/>
    <n v="3"/>
    <n v="8"/>
    <n v="7"/>
    <n v="14"/>
    <n v="17"/>
    <n v="14"/>
    <n v="43155"/>
  </r>
  <r>
    <n v="309"/>
    <x v="2"/>
    <x v="4"/>
    <n v="4"/>
    <n v="7"/>
    <n v="8"/>
    <n v="12"/>
    <n v="18"/>
    <n v="18"/>
    <n v="45895"/>
  </r>
  <r>
    <n v="407"/>
    <x v="2"/>
    <x v="5"/>
    <n v="5"/>
    <n v="6"/>
    <n v="9"/>
    <n v="13"/>
    <n v="17"/>
    <n v="19"/>
    <n v="48300"/>
  </r>
  <r>
    <n v="408"/>
    <x v="2"/>
    <x v="4"/>
    <n v="5"/>
    <n v="7"/>
    <n v="8"/>
    <n v="14"/>
    <n v="16"/>
    <n v="20"/>
    <n v="47950"/>
  </r>
  <r>
    <n v="409"/>
    <x v="2"/>
    <x v="5"/>
    <n v="4"/>
    <n v="5"/>
    <n v="8"/>
    <n v="12"/>
    <n v="15"/>
    <n v="18"/>
    <n v="43400"/>
  </r>
  <r>
    <n v="507"/>
    <x v="2"/>
    <x v="4"/>
    <n v="4"/>
    <n v="6"/>
    <n v="8"/>
    <n v="14"/>
    <n v="14"/>
    <n v="19"/>
    <n v="44525"/>
  </r>
  <r>
    <n v="508"/>
    <x v="2"/>
    <x v="5"/>
    <n v="3"/>
    <n v="5"/>
    <n v="7"/>
    <n v="12"/>
    <n v="16"/>
    <n v="16"/>
    <n v="41300"/>
  </r>
  <r>
    <n v="210"/>
    <x v="3"/>
    <x v="6"/>
    <n v="5"/>
    <n v="6"/>
    <n v="8"/>
    <n v="13"/>
    <n v="16"/>
    <n v="25"/>
    <n v="61685"/>
  </r>
  <r>
    <n v="310"/>
    <x v="3"/>
    <x v="6"/>
    <n v="4"/>
    <n v="5"/>
    <n v="9"/>
    <n v="13"/>
    <n v="15"/>
    <n v="24"/>
    <n v="59150"/>
  </r>
  <r>
    <n v="410"/>
    <x v="3"/>
    <x v="7"/>
    <n v="4"/>
    <n v="4"/>
    <n v="7"/>
    <n v="14"/>
    <n v="17"/>
    <n v="17"/>
    <n v="59535"/>
  </r>
  <r>
    <n v="510"/>
    <x v="3"/>
    <x v="7"/>
    <n v="3"/>
    <n v="5"/>
    <n v="6"/>
    <n v="13"/>
    <n v="16"/>
    <n v="17"/>
    <n v="56700"/>
  </r>
  <r>
    <n v="511"/>
    <x v="3"/>
    <x v="7"/>
    <n v="3"/>
    <n v="6"/>
    <n v="7"/>
    <n v="14"/>
    <n v="15"/>
    <n v="18"/>
    <n v="59535"/>
  </r>
  <r>
    <n v="411"/>
    <x v="4"/>
    <x v="8"/>
    <n v="2"/>
    <n v="5"/>
    <n v="8"/>
    <n v="12"/>
    <n v="15"/>
    <n v="19"/>
    <n v="67100"/>
  </r>
  <r>
    <n v="412"/>
    <x v="4"/>
    <x v="8"/>
    <n v="3"/>
    <n v="6"/>
    <n v="9"/>
    <n v="14"/>
    <n v="14"/>
    <n v="20"/>
    <n v="72600"/>
  </r>
  <r>
    <n v="512"/>
    <x v="4"/>
    <x v="8"/>
    <n v="4"/>
    <n v="7"/>
    <n v="8"/>
    <n v="12"/>
    <n v="13"/>
    <n v="19"/>
    <n v="69300"/>
  </r>
  <r>
    <n v="513"/>
    <x v="4"/>
    <x v="8"/>
    <n v="3"/>
    <n v="7"/>
    <n v="7"/>
    <n v="13"/>
    <n v="16"/>
    <n v="18"/>
    <n v="70400"/>
  </r>
  <r>
    <n v="104"/>
    <x v="4"/>
    <x v="8"/>
    <n v="2"/>
    <n v="6"/>
    <n v="8"/>
    <n v="14"/>
    <n v="16"/>
    <n v="16"/>
    <n v="68200"/>
  </r>
  <r>
    <n v="101"/>
    <x v="5"/>
    <x v="9"/>
    <n v="2"/>
    <n v="6"/>
    <n v="7"/>
    <n v="11"/>
    <n v="15"/>
    <n v="19"/>
    <n v="98700"/>
  </r>
  <r>
    <n v="102"/>
    <x v="5"/>
    <x v="9"/>
    <n v="2"/>
    <n v="5"/>
    <n v="9"/>
    <n v="11"/>
    <n v="11"/>
    <n v="18"/>
    <n v="92120"/>
  </r>
  <r>
    <n v="601"/>
    <x v="5"/>
    <x v="9"/>
    <n v="2"/>
    <n v="5"/>
    <n v="7"/>
    <n v="12"/>
    <n v="13"/>
    <n v="17"/>
    <n v="92120"/>
  </r>
  <r>
    <n v="602"/>
    <x v="5"/>
    <x v="9"/>
    <n v="2"/>
    <n v="6"/>
    <n v="7"/>
    <n v="14"/>
    <n v="12"/>
    <n v="19"/>
    <n v="98700"/>
  </r>
  <r>
    <n v="603"/>
    <x v="5"/>
    <x v="9"/>
    <n v="2"/>
    <n v="5"/>
    <n v="7"/>
    <n v="12"/>
    <n v="12"/>
    <n v="17"/>
    <n v="90475"/>
  </r>
  <r>
    <n v="1"/>
    <x v="6"/>
    <x v="10"/>
    <n v="1"/>
    <n v="1"/>
    <n v="2"/>
    <n v="3"/>
    <n v="4"/>
    <n v="5"/>
    <n v="104720"/>
  </r>
  <r>
    <n v="2"/>
    <x v="6"/>
    <x v="10"/>
    <n v="0"/>
    <n v="1"/>
    <n v="1"/>
    <n v="4"/>
    <n v="6"/>
    <n v="7"/>
    <n v="12435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2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5" fieldListSortAscending="0" mdxSubqueries="0" applyNumberFormats="0" applyBorderFormats="0" applyFontFormats="0" applyPatternFormats="0" applyAlignmentFormats="0" applyWidthHeightFormats="1" r:id="rId1">
  <location ref="BN90:BT98" firstHeaderRow="0" firstDataRow="1" firstDataCol="1"/>
  <pivotFields count="10">
    <pivotField showDropDowns="1" compact="1" numFmtId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8">
        <item t="data" sd="1" x="1"/>
        <item t="data" sd="1" x="2"/>
        <item t="data" sd="1" x="0"/>
        <item t="data" sd="1" x="4"/>
        <item t="data" sd="1" x="5"/>
        <item t="data" sd="1" x="3"/>
        <item t="data" sd="1" x="6"/>
        <item t="default" sd="1"/>
      </items>
    </pivotField>
    <pivotField showDropDowns="1" compact="1" numFmtId="164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Fields count="1">
    <field x="-2"/>
  </colFields>
  <colItems count="6">
    <i t="data" r="0" i="0">
      <x v="0"/>
    </i>
    <i t="data" r="0" i="1">
      <x v="1"/>
    </i>
    <i t="data" r="0" i="2">
      <x v="2"/>
    </i>
    <i t="data" r="0" i="3">
      <x v="3"/>
    </i>
    <i t="data" r="0" i="4">
      <x v="4"/>
    </i>
    <i t="data" r="0" i="5">
      <x v="5"/>
    </i>
  </colItems>
  <dataFields count="6">
    <dataField name="Sum of Ianuarie" fld="3" subtotal="sum" showDataAs="normal" baseField="0" baseItem="0"/>
    <dataField name="Sum of Februarie " fld="4" subtotal="sum" showDataAs="normal" baseField="0" baseItem="0"/>
    <dataField name="Sum of Martie " fld="5" subtotal="sum" showDataAs="normal" baseField="0" baseItem="0"/>
    <dataField name="Sum of Aprilie " fld="6" subtotal="sum" showDataAs="normal" baseField="0" baseItem="0"/>
    <dataField name="Sum of Mai" fld="7" subtotal="sum" showDataAs="normal" baseField="0" baseItem="0"/>
    <dataField name="Sum of Iunie" fld="8" subtotal="sum" showDataAs="normal" baseField="0" baseItem="0"/>
  </dataFields>
  <chartFormats count="12">
    <chartFormat chart="0" format="1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0" format="2" series="1">
      <pivotArea type="data" dataOnly="1" outline="0" fieldPosition="0">
        <references count="1">
          <reference field="4294967294" selected="0">
            <x v="1"/>
          </reference>
        </references>
      </pivotArea>
    </chartFormat>
    <chartFormat chart="0" format="3" series="1">
      <pivotArea type="data" dataOnly="1" outline="0" fieldPosition="0">
        <references count="1">
          <reference field="4294967294" selected="0">
            <x v="2"/>
          </reference>
        </references>
      </pivotArea>
    </chartFormat>
    <chartFormat chart="0" format="4" series="1">
      <pivotArea type="data" dataOnly="1" outline="0" fieldPosition="0">
        <references count="1">
          <reference field="4294967294" selected="0">
            <x v="3"/>
          </reference>
        </references>
      </pivotArea>
    </chartFormat>
    <chartFormat chart="0" format="5" series="1">
      <pivotArea type="data" dataOnly="1" outline="0" fieldPosition="0">
        <references count="1">
          <reference field="4294967294" selected="0">
            <x v="4"/>
          </reference>
        </references>
      </pivotArea>
    </chartFormat>
    <chartFormat chart="0" format="6" series="1">
      <pivotArea type="data" dataOnly="1" outline="0" fieldPosition="0">
        <references count="1">
          <reference field="4294967294" selected="0">
            <x v="5"/>
          </reference>
        </references>
      </pivotArea>
    </chartFormat>
    <chartFormat chart="1" format="0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1" format="1" series="1">
      <pivotArea type="data" dataOnly="1" outline="0" fieldPosition="0">
        <references count="1">
          <reference field="4294967294" selected="0">
            <x v="1"/>
          </reference>
        </references>
      </pivotArea>
    </chartFormat>
    <chartFormat chart="1" format="2" series="1">
      <pivotArea type="data" dataOnly="1" outline="0" fieldPosition="0">
        <references count="1">
          <reference field="4294967294" selected="0">
            <x v="2"/>
          </reference>
        </references>
      </pivotArea>
    </chartFormat>
    <chartFormat chart="1" format="3" series="1">
      <pivotArea type="data" dataOnly="1" outline="0" fieldPosition="0">
        <references count="1">
          <reference field="4294967294" selected="0">
            <x v="3"/>
          </reference>
        </references>
      </pivotArea>
    </chartFormat>
    <chartFormat chart="1" format="4" series="1">
      <pivotArea type="data" dataOnly="1" outline="0" fieldPosition="0">
        <references count="1">
          <reference field="4294967294" selected="0">
            <x v="4"/>
          </reference>
        </references>
      </pivotArea>
    </chartFormat>
    <chartFormat chart="1" format="5" series="1">
      <pivotArea type="data" dataOnly="1" outline="0" fieldPosition="0">
        <references count="1">
          <reference field="4294967294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" cacheId="2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2" rowHeaderCaption="TIP DE CAMERĂ" fieldListSortAscending="0" mdxSubqueries="0" applyNumberFormats="0" applyBorderFormats="0" applyFontFormats="0" applyPatternFormats="0" applyAlignmentFormats="0" applyWidthHeightFormats="1" r:id="rId1">
  <location ref="D4:L12" firstHeaderRow="0" firstDataRow="1" firstDataCol="1"/>
  <pivotFields count="10">
    <pivotField showDropDowns="1" compact="1" numFmtId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8">
        <item t="data" sd="1" x="1"/>
        <item t="data" sd="1" x="2"/>
        <item t="data" sd="1" x="0"/>
        <item t="data" sd="1" x="4"/>
        <item t="data" sd="1" x="5"/>
        <item t="data" sd="1" x="3"/>
        <item t="data" sd="1" x="6"/>
        <item t="default" sd="1"/>
      </items>
    </pivotField>
    <pivotField dataField="1" showDropDowns="1" compact="1" numFmtId="164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164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Fields count="1">
    <field x="-2"/>
  </colFields>
  <colItems count="8">
    <i t="data" r="0" i="0">
      <x v="0"/>
    </i>
    <i t="data" r="0" i="1">
      <x v="1"/>
    </i>
    <i t="data" r="0" i="2">
      <x v="2"/>
    </i>
    <i t="data" r="0" i="3">
      <x v="3"/>
    </i>
    <i t="data" r="0" i="4">
      <x v="4"/>
    </i>
    <i t="data" r="0" i="5">
      <x v="5"/>
    </i>
    <i t="data" r="0" i="6">
      <x v="6"/>
    </i>
    <i t="data" r="0" i="7">
      <x v="7"/>
    </i>
  </colItems>
  <dataFields count="8">
    <dataField name="Sum of Preț/Noapte" fld="2" subtotal="sum" showDataAs="normal" baseField="0" baseItem="0" numFmtId="164"/>
    <dataField name="Sum of Ianuarie" fld="3" subtotal="sum" showDataAs="normal" baseField="0" baseItem="0"/>
    <dataField name="Sum of Februarie " fld="4" subtotal="sum" showDataAs="normal" baseField="0" baseItem="0"/>
    <dataField name="Sum of Martie " fld="5" subtotal="sum" showDataAs="normal" baseField="0" baseItem="0"/>
    <dataField name="Sum of Aprilie " fld="6" subtotal="sum" showDataAs="normal" baseField="0" baseItem="0"/>
    <dataField name="Sum of Mai" fld="7" subtotal="sum" showDataAs="normal" baseField="0" baseItem="0"/>
    <dataField name="Sum of Iunie" fld="8" subtotal="sum" showDataAs="normal" baseField="0" baseItem="0"/>
    <dataField name="Sum of Total" fld="9" subtotal="sum" showDataAs="normal" baseField="0" baseItem="0" numFmtId="164"/>
  </dataFields>
  <formats count="8">
    <format action="formatting" dxfId="7">
      <pivotArea type="normal" dataOnly="1" outline="0" collapsedLevelsAreSubtotals="1" fieldPosition="0">
        <references count="1">
          <reference field="4294967294" selected="0">
            <x v="0"/>
          </reference>
        </references>
      </pivotArea>
    </format>
    <format action="formatting" dxfId="6">
      <pivotArea type="normal" dataOnly="1" outline="0" collapsedLevelsAreSubtotals="1" fieldPosition="0">
        <references count="1">
          <reference field="4294967294" selected="0">
            <x v="7"/>
          </reference>
        </references>
      </pivotArea>
    </format>
    <format action="formatting" dxfId="5">
      <pivotArea field="1" type="button" dataOnly="0" labelOnly="1" outline="0" axis="axisRow" fieldPosition="0"/>
    </format>
    <format action="formatting" dxfId="4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  <x v="5"/>
            <x v="6"/>
            <x v="7"/>
          </reference>
        </references>
      </pivotArea>
    </format>
    <format action="formatting" dxfId="3">
      <pivotArea type="normal" dataOnly="1" grandRow="1" outline="0" collapsedLevelsAreSubtotals="1" fieldPosition="0"/>
    </format>
    <format action="formatting" dxfId="2">
      <pivotArea type="normal" dataOnly="0" labelOnly="1" grandRow="1" outline="0" fieldPosition="0"/>
    </format>
    <format action="formatting" dxfId="1">
      <pivotArea type="normal" dataOnly="0" labelOnly="1" outline="1" fieldPosition="0">
        <references count="1">
          <reference field="1"/>
        </references>
      </pivotArea>
    </format>
    <format action="formatting" dxfId="0">
      <pivotArea type="normal" dataOnly="1" outline="1" collapsedLevelsAreSubtotals="1" fieldPosition="0">
        <references count="1">
          <reference field="1"/>
        </references>
      </pivotArea>
    </format>
  </formats>
  <chartFormats count="16">
    <chartFormat chart="0" format="0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0" format="1" series="1">
      <pivotArea type="data" dataOnly="1" outline="0" fieldPosition="0">
        <references count="1">
          <reference field="4294967294" selected="0">
            <x v="1"/>
          </reference>
        </references>
      </pivotArea>
    </chartFormat>
    <chartFormat chart="0" format="2" series="1">
      <pivotArea type="data" dataOnly="1" outline="0" fieldPosition="0">
        <references count="1">
          <reference field="4294967294" selected="0">
            <x v="2"/>
          </reference>
        </references>
      </pivotArea>
    </chartFormat>
    <chartFormat chart="0" format="3" series="1">
      <pivotArea type="data" dataOnly="1" outline="0" fieldPosition="0">
        <references count="1">
          <reference field="4294967294" selected="0">
            <x v="3"/>
          </reference>
        </references>
      </pivotArea>
    </chartFormat>
    <chartFormat chart="0" format="4" series="1">
      <pivotArea type="data" dataOnly="1" outline="0" fieldPosition="0">
        <references count="1">
          <reference field="4294967294" selected="0">
            <x v="4"/>
          </reference>
        </references>
      </pivotArea>
    </chartFormat>
    <chartFormat chart="0" format="5" series="1">
      <pivotArea type="data" dataOnly="1" outline="0" fieldPosition="0">
        <references count="1">
          <reference field="4294967294" selected="0">
            <x v="5"/>
          </reference>
        </references>
      </pivotArea>
    </chartFormat>
    <chartFormat chart="0" format="6" series="1">
      <pivotArea type="data" dataOnly="1" outline="0" fieldPosition="0">
        <references count="1">
          <reference field="4294967294" selected="0">
            <x v="6"/>
          </reference>
        </references>
      </pivotArea>
    </chartFormat>
    <chartFormat chart="0" format="7" series="1">
      <pivotArea type="data" dataOnly="1" outline="0" fieldPosition="0">
        <references count="1">
          <reference field="4294967294" selected="0">
            <x v="7"/>
          </reference>
        </references>
      </pivotArea>
    </chartFormat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1" format="9" series="1">
      <pivotArea type="data" dataOnly="1" outline="0" fieldPosition="0">
        <references count="1">
          <reference field="4294967294" selected="0">
            <x v="1"/>
          </reference>
        </references>
      </pivotArea>
    </chartFormat>
    <chartFormat chart="1" format="10" series="1">
      <pivotArea type="data" dataOnly="1" outline="0" fieldPosition="0">
        <references count="1">
          <reference field="4294967294" selected="0">
            <x v="2"/>
          </reference>
        </references>
      </pivotArea>
    </chartFormat>
    <chartFormat chart="1" format="11" series="1">
      <pivotArea type="data" dataOnly="1" outline="0" fieldPosition="0">
        <references count="1">
          <reference field="4294967294" selected="0">
            <x v="3"/>
          </reference>
        </references>
      </pivotArea>
    </chartFormat>
    <chartFormat chart="1" format="12" series="1">
      <pivotArea type="data" dataOnly="1" outline="0" fieldPosition="0">
        <references count="1">
          <reference field="4294967294" selected="0">
            <x v="4"/>
          </reference>
        </references>
      </pivotArea>
    </chartFormat>
    <chartFormat chart="1" format="13" series="1">
      <pivotArea type="data" dataOnly="1" outline="0" fieldPosition="0">
        <references count="1">
          <reference field="4294967294" selected="0">
            <x v="5"/>
          </reference>
        </references>
      </pivotArea>
    </chartFormat>
    <chartFormat chart="1" format="14" series="1">
      <pivotArea type="data" dataOnly="1" outline="0" fieldPosition="0">
        <references count="1">
          <reference field="4294967294" selected="0">
            <x v="6"/>
          </reference>
        </references>
      </pivotArea>
    </chartFormat>
    <chartFormat chart="1" format="15" series="1">
      <pivotArea type="data" dataOnly="1" outline="0" fieldPosition="0">
        <references count="1">
          <reference field="4294967294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6" displayName="Table6" ref="D4:M54" headerRowCount="1" totalsRowShown="0" headerRowDxfId="11">
  <autoFilter ref="D4:M54"/>
  <tableColumns count="10">
    <tableColumn id="1" name="NUMĂR CAMERĂ" dataDxfId="10"/>
    <tableColumn id="2" name="TIP CAMERĂ "/>
    <tableColumn id="3" name="PREȚ/NOAPTE" dataDxfId="9">
      <calculatedColumnFormula>VLOOKUP(D5,Camere!E:Q,5,0)</calculatedColumnFormula>
    </tableColumn>
    <tableColumn id="4" name="IANUARIE"/>
    <tableColumn id="5" name="FEBRUARIE "/>
    <tableColumn id="6" name="MARTIE"/>
    <tableColumn id="7" name="APRILIE"/>
    <tableColumn id="8" name="MAI"/>
    <tableColumn id="9" name="IUNIE"/>
    <tableColumn id="10" name="TOTAL" dataDxfId="8">
      <calculatedColumnFormula>SUM(Table6[[#This Row],[IANUARIE]:[IUNIE]])*Table6[[#This Row],[PREȚ/NOAPTE]]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pivotTable" Target="/xl/pivotTables/pivotTable1.xml" Id="rId2"/><Relationship Type="http://schemas.openxmlformats.org/officeDocument/2006/relationships/pivotTable" Target="/xl/pivotTables/pivotTable2.xml" Id="rId3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54"/>
  <sheetViews>
    <sheetView tabSelected="1" zoomScaleNormal="100" workbookViewId="0">
      <selection activeCell="AI37" sqref="AI37"/>
    </sheetView>
  </sheetViews>
  <sheetFormatPr baseColWidth="10" defaultRowHeight="16"/>
  <cols>
    <col width="3" customWidth="1" style="3" min="1" max="2"/>
    <col width="10.83203125" customWidth="1" style="3" min="4" max="4"/>
    <col width="10.6640625" customWidth="1" style="3" min="22" max="22"/>
    <col width="6.83203125" customWidth="1" style="3" min="23" max="23"/>
    <col width="3.5" customWidth="1" style="3" min="24" max="24"/>
    <col width="3.6640625" customWidth="1" style="3" min="25" max="25"/>
  </cols>
  <sheetData>
    <row r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</row>
    <row r="2">
      <c r="A2" s="4" t="n"/>
      <c r="B2" s="222" t="inlineStr">
        <is>
          <t>Firma de transport rutier</t>
        </is>
      </c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4" t="n"/>
      <c r="Z2" s="4" t="n"/>
      <c r="AA2" s="4" t="n"/>
      <c r="AB2" s="4" t="n"/>
      <c r="AC2" s="4" t="n"/>
      <c r="AD2" s="4" t="n"/>
      <c r="AE2" s="4" t="n"/>
      <c r="AF2" s="4" t="n"/>
    </row>
    <row r="3">
      <c r="A3" s="4" t="n"/>
      <c r="B3" s="223" t="inlineStr">
        <is>
          <t>Analiza parc auto, curse si clienti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5" t="n"/>
      <c r="Y3" s="4" t="n"/>
      <c r="Z3" s="4" t="n"/>
      <c r="AA3" s="4" t="n"/>
      <c r="AB3" s="4" t="n"/>
      <c r="AC3" s="4" t="n"/>
      <c r="AD3" s="4" t="n"/>
      <c r="AE3" s="4" t="n"/>
      <c r="AF3" s="4" t="n"/>
    </row>
    <row r="4">
      <c r="A4" s="4" t="n"/>
      <c r="B4" s="5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5" t="n"/>
      <c r="Y4" s="4" t="n"/>
      <c r="Z4" s="4" t="n"/>
      <c r="AA4" s="4" t="n"/>
      <c r="AB4" s="4" t="n"/>
      <c r="AC4" s="4" t="n"/>
      <c r="AD4" s="4" t="n"/>
      <c r="AE4" s="4" t="n"/>
      <c r="AF4" s="4" t="n"/>
    </row>
    <row r="5">
      <c r="A5" s="4" t="n"/>
      <c r="B5" s="5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5" t="n"/>
      <c r="Y5" s="4" t="n"/>
      <c r="Z5" s="4" t="n"/>
      <c r="AA5" s="4" t="n"/>
      <c r="AB5" s="4" t="n"/>
      <c r="AC5" s="4" t="n"/>
      <c r="AD5" s="4" t="n"/>
      <c r="AE5" s="4" t="n"/>
      <c r="AF5" s="4" t="n"/>
    </row>
    <row r="6">
      <c r="A6" s="4" t="n"/>
      <c r="B6" s="5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5" t="n"/>
      <c r="Y6" s="4" t="n"/>
      <c r="Z6" s="4" t="n"/>
      <c r="AA6" s="4" t="n"/>
      <c r="AB6" s="4" t="n"/>
      <c r="AC6" s="4" t="n"/>
      <c r="AD6" s="4" t="n"/>
      <c r="AE6" s="4" t="n"/>
      <c r="AF6" s="4" t="n"/>
    </row>
    <row r="7">
      <c r="A7" s="4" t="n"/>
      <c r="B7" s="5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5" t="n"/>
      <c r="Y7" s="4" t="n"/>
      <c r="Z7" s="4" t="n"/>
      <c r="AA7" s="4" t="n"/>
      <c r="AB7" s="4" t="n"/>
      <c r="AC7" s="4" t="n"/>
      <c r="AD7" s="4" t="n"/>
      <c r="AE7" s="4" t="n"/>
      <c r="AF7" s="4" t="n"/>
    </row>
    <row r="8">
      <c r="A8" s="4" t="n"/>
      <c r="B8" s="5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5" t="n"/>
      <c r="Y8" s="4" t="n"/>
      <c r="Z8" s="4" t="n"/>
      <c r="AA8" s="4" t="n"/>
      <c r="AB8" s="4" t="n"/>
      <c r="AC8" s="4" t="n"/>
      <c r="AD8" s="4" t="n"/>
      <c r="AE8" s="4" t="n"/>
      <c r="AF8" s="4" t="n"/>
    </row>
    <row r="9">
      <c r="A9" s="4" t="n"/>
      <c r="B9" s="5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5" t="n"/>
      <c r="Y9" s="4" t="n"/>
      <c r="Z9" s="4" t="n"/>
      <c r="AA9" s="4" t="n"/>
      <c r="AB9" s="4" t="n"/>
      <c r="AC9" s="4" t="n"/>
      <c r="AD9" s="4" t="n"/>
      <c r="AE9" s="4" t="n"/>
      <c r="AF9" s="4" t="n"/>
    </row>
    <row r="10">
      <c r="A10" s="4" t="n"/>
      <c r="B10" s="5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5" t="n"/>
      <c r="Y10" s="4" t="n"/>
      <c r="Z10" s="4" t="n"/>
      <c r="AA10" s="4" t="n"/>
      <c r="AB10" s="4" t="n"/>
      <c r="AC10" s="4" t="n"/>
      <c r="AD10" s="4" t="n"/>
      <c r="AE10" s="4" t="n"/>
      <c r="AF10" s="4" t="n"/>
    </row>
    <row r="11">
      <c r="A11" s="4" t="n"/>
      <c r="B11" s="5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5" t="n"/>
      <c r="Y11" s="4" t="n"/>
      <c r="Z11" s="4" t="n"/>
      <c r="AA11" s="4" t="n"/>
      <c r="AB11" s="4" t="n"/>
      <c r="AC11" s="4" t="n"/>
      <c r="AD11" s="4" t="n"/>
      <c r="AE11" s="4" t="n"/>
      <c r="AF11" s="4" t="n"/>
    </row>
    <row r="12">
      <c r="A12" s="4" t="n"/>
      <c r="B12" s="5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5" t="n"/>
      <c r="Y12" s="4" t="n"/>
      <c r="Z12" s="4" t="n"/>
      <c r="AA12" s="4" t="n"/>
      <c r="AB12" s="4" t="n"/>
      <c r="AC12" s="4" t="n"/>
      <c r="AD12" s="4" t="n"/>
      <c r="AE12" s="4" t="n"/>
      <c r="AF12" s="4" t="n"/>
    </row>
    <row r="13">
      <c r="A13" s="4" t="n"/>
      <c r="B13" s="5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5" t="n"/>
      <c r="Y13" s="4" t="n"/>
      <c r="Z13" s="4" t="n"/>
      <c r="AA13" s="4" t="n"/>
      <c r="AB13" s="4" t="n"/>
      <c r="AC13" s="4" t="n"/>
      <c r="AD13" s="4" t="n"/>
      <c r="AE13" s="4" t="n"/>
      <c r="AF13" s="4" t="n"/>
    </row>
    <row r="14">
      <c r="A14" s="4" t="n"/>
      <c r="B14" s="5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5" t="n"/>
      <c r="Y14" s="4" t="n"/>
      <c r="Z14" s="4" t="n"/>
      <c r="AA14" s="4" t="n"/>
      <c r="AB14" s="4" t="n"/>
      <c r="AC14" s="4" t="n"/>
      <c r="AD14" s="4" t="n"/>
      <c r="AE14" s="4" t="n"/>
      <c r="AF14" s="4" t="n"/>
    </row>
    <row r="15">
      <c r="A15" s="4" t="n"/>
      <c r="B15" s="5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5" t="n"/>
      <c r="Y15" s="4" t="n"/>
      <c r="Z15" s="4" t="n"/>
      <c r="AA15" s="4" t="n"/>
      <c r="AB15" s="4" t="n"/>
      <c r="AC15" s="4" t="n"/>
      <c r="AD15" s="4" t="n"/>
      <c r="AE15" s="4" t="n"/>
      <c r="AF15" s="4" t="n"/>
    </row>
    <row r="16">
      <c r="A16" s="4" t="n"/>
      <c r="B16" s="5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5" t="n"/>
      <c r="Y16" s="4" t="n"/>
      <c r="Z16" s="4" t="n"/>
      <c r="AA16" s="4" t="n"/>
      <c r="AB16" s="4" t="n"/>
      <c r="AC16" s="4" t="n"/>
      <c r="AD16" s="4" t="n"/>
      <c r="AE16" s="4" t="n"/>
      <c r="AF16" s="4" t="n"/>
    </row>
    <row r="17">
      <c r="A17" s="4" t="n"/>
      <c r="B17" s="5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5" t="n"/>
      <c r="Y17" s="4" t="n"/>
      <c r="Z17" s="4" t="n"/>
      <c r="AA17" s="4" t="n"/>
      <c r="AB17" s="4" t="n"/>
      <c r="AC17" s="4" t="n"/>
      <c r="AD17" s="4" t="n"/>
      <c r="AE17" s="4" t="n"/>
      <c r="AF17" s="4" t="n"/>
    </row>
    <row r="18">
      <c r="A18" s="4" t="n"/>
      <c r="B18" s="5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5" t="n"/>
      <c r="Y18" s="4" t="n"/>
      <c r="Z18" s="4" t="n"/>
      <c r="AA18" s="4" t="n"/>
      <c r="AB18" s="4" t="n"/>
      <c r="AC18" s="4" t="n"/>
      <c r="AD18" s="4" t="n"/>
      <c r="AE18" s="4" t="n"/>
      <c r="AF18" s="4" t="n"/>
    </row>
    <row r="19">
      <c r="A19" s="4" t="n"/>
      <c r="B19" s="5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5" t="n"/>
      <c r="Y19" s="4" t="n"/>
      <c r="Z19" s="4" t="n"/>
      <c r="AA19" s="4" t="n"/>
      <c r="AB19" s="4" t="n"/>
      <c r="AC19" s="4" t="n"/>
      <c r="AD19" s="4" t="n"/>
      <c r="AE19" s="4" t="n"/>
      <c r="AF19" s="4" t="n"/>
    </row>
    <row r="20">
      <c r="A20" s="4" t="n"/>
      <c r="B20" s="5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5" t="n"/>
      <c r="Y20" s="4" t="n"/>
      <c r="Z20" s="4" t="n"/>
      <c r="AA20" s="4" t="n"/>
      <c r="AB20" s="4" t="n"/>
      <c r="AC20" s="4" t="n"/>
      <c r="AD20" s="4" t="n"/>
      <c r="AE20" s="4" t="n"/>
      <c r="AF20" s="4" t="n"/>
    </row>
    <row r="21">
      <c r="A21" s="4" t="n"/>
      <c r="B21" s="5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5" t="n"/>
      <c r="Y21" s="4" t="n"/>
      <c r="Z21" s="4" t="n"/>
      <c r="AA21" s="4" t="n"/>
      <c r="AB21" s="4" t="n"/>
      <c r="AC21" s="4" t="n"/>
      <c r="AD21" s="4" t="n"/>
      <c r="AE21" s="4" t="n"/>
      <c r="AF21" s="4" t="n"/>
    </row>
    <row r="22">
      <c r="A22" s="4" t="n"/>
      <c r="B22" s="5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5" t="n"/>
      <c r="Y22" s="4" t="n"/>
      <c r="Z22" s="4" t="n"/>
      <c r="AA22" s="4" t="n"/>
      <c r="AB22" s="4" t="n"/>
      <c r="AC22" s="4" t="n"/>
      <c r="AD22" s="4" t="n"/>
      <c r="AE22" s="4" t="n"/>
      <c r="AF22" s="4" t="n"/>
    </row>
    <row r="23">
      <c r="A23" s="4" t="n"/>
      <c r="B23" s="5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5" t="n"/>
      <c r="Y23" s="4" t="n"/>
      <c r="Z23" s="4" t="n"/>
      <c r="AA23" s="4" t="n"/>
      <c r="AB23" s="4" t="n"/>
      <c r="AC23" s="4" t="n"/>
      <c r="AD23" s="4" t="n"/>
      <c r="AE23" s="4" t="n"/>
      <c r="AF23" s="4" t="n"/>
    </row>
    <row r="24">
      <c r="A24" s="4" t="n"/>
      <c r="B24" s="5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5" t="n"/>
      <c r="Y24" s="4" t="n"/>
      <c r="Z24" s="4" t="n"/>
      <c r="AA24" s="4" t="n"/>
      <c r="AB24" s="4" t="n"/>
      <c r="AC24" s="4" t="n"/>
      <c r="AD24" s="4" t="n"/>
      <c r="AE24" s="4" t="n"/>
      <c r="AF24" s="4" t="n"/>
    </row>
    <row r="25">
      <c r="A25" s="4" t="n"/>
      <c r="B25" s="5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5" t="n"/>
      <c r="Y25" s="4" t="n"/>
      <c r="Z25" s="4" t="n"/>
      <c r="AA25" s="4" t="n"/>
      <c r="AB25" s="4" t="n"/>
      <c r="AC25" s="4" t="n"/>
      <c r="AD25" s="4" t="n"/>
      <c r="AE25" s="4" t="n"/>
      <c r="AF25" s="4" t="n"/>
    </row>
    <row r="26">
      <c r="A26" s="4" t="n"/>
      <c r="B26" s="5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5" t="n"/>
      <c r="Y26" s="4" t="n"/>
      <c r="Z26" s="4" t="n"/>
      <c r="AA26" s="4" t="n"/>
      <c r="AB26" s="4" t="n"/>
      <c r="AC26" s="4" t="n"/>
      <c r="AD26" s="4" t="n"/>
      <c r="AE26" s="4" t="n"/>
      <c r="AF26" s="4" t="n"/>
    </row>
    <row r="27">
      <c r="A27" s="4" t="n"/>
      <c r="B27" s="5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5" t="n"/>
      <c r="Y27" s="4" t="n"/>
      <c r="Z27" s="4" t="n"/>
      <c r="AA27" s="4" t="n"/>
      <c r="AB27" s="4" t="n"/>
      <c r="AC27" s="4" t="n"/>
      <c r="AD27" s="4" t="n"/>
      <c r="AE27" s="4" t="n"/>
      <c r="AF27" s="4" t="n"/>
    </row>
    <row r="28">
      <c r="A28" s="4" t="n"/>
      <c r="B28" s="5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5" t="n"/>
      <c r="Y28" s="4" t="n"/>
      <c r="Z28" s="4" t="n"/>
      <c r="AA28" s="4" t="n"/>
      <c r="AB28" s="4" t="n"/>
      <c r="AC28" s="4" t="n"/>
      <c r="AD28" s="4" t="n"/>
      <c r="AE28" s="4" t="n"/>
      <c r="AF28" s="4" t="n"/>
    </row>
    <row r="29">
      <c r="A29" s="4" t="n"/>
      <c r="B29" s="5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5" t="n"/>
      <c r="Y29" s="4" t="n"/>
      <c r="Z29" s="4" t="n"/>
      <c r="AA29" s="4" t="n"/>
      <c r="AB29" s="4" t="n"/>
      <c r="AC29" s="4" t="n"/>
      <c r="AD29" s="4" t="n"/>
      <c r="AE29" s="4" t="n"/>
      <c r="AF29" s="4" t="n"/>
    </row>
    <row r="30">
      <c r="A30" s="4" t="n"/>
      <c r="B30" s="5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5" t="n"/>
      <c r="Y30" s="4" t="n"/>
      <c r="Z30" s="4" t="n"/>
      <c r="AA30" s="4" t="n"/>
      <c r="AB30" s="4" t="n"/>
      <c r="AC30" s="4" t="n"/>
      <c r="AD30" s="4" t="n"/>
      <c r="AE30" s="4" t="n"/>
      <c r="AF30" s="4" t="n"/>
    </row>
    <row r="31">
      <c r="A31" s="4" t="n"/>
      <c r="B31" s="5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5" t="n"/>
      <c r="Y31" s="4" t="n"/>
      <c r="Z31" s="4" t="n"/>
      <c r="AA31" s="4" t="n"/>
      <c r="AB31" s="4" t="n"/>
      <c r="AC31" s="4" t="n"/>
      <c r="AD31" s="4" t="n"/>
      <c r="AE31" s="4" t="n"/>
      <c r="AF31" s="4" t="n"/>
    </row>
    <row r="32">
      <c r="A32" s="4" t="n"/>
      <c r="B32" s="5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5" t="n"/>
      <c r="Y32" s="4" t="n"/>
      <c r="Z32" s="4" t="n"/>
      <c r="AA32" s="4" t="n"/>
      <c r="AB32" s="4" t="n"/>
      <c r="AC32" s="4" t="n"/>
      <c r="AD32" s="4" t="n"/>
      <c r="AE32" s="4" t="n"/>
      <c r="AF32" s="4" t="n"/>
    </row>
    <row r="33">
      <c r="A33" s="4" t="n"/>
      <c r="B33" s="5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5" t="n"/>
      <c r="Y33" s="4" t="n"/>
      <c r="Z33" s="4" t="n"/>
      <c r="AA33" s="4" t="n"/>
      <c r="AB33" s="4" t="n"/>
      <c r="AC33" s="4" t="n"/>
      <c r="AD33" s="4" t="n"/>
      <c r="AE33" s="4" t="n"/>
      <c r="AF33" s="4" t="n"/>
    </row>
    <row r="34">
      <c r="A34" s="4" t="n"/>
      <c r="B34" s="5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5" t="n"/>
      <c r="Y34" s="4" t="n"/>
      <c r="Z34" s="4" t="n"/>
      <c r="AA34" s="4" t="n"/>
      <c r="AB34" s="4" t="n"/>
      <c r="AC34" s="4" t="n"/>
      <c r="AD34" s="4" t="n"/>
      <c r="AE34" s="4" t="n"/>
      <c r="AF34" s="4" t="n"/>
    </row>
    <row r="35">
      <c r="A35" s="4" t="n"/>
      <c r="B35" s="5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5" t="n"/>
      <c r="Y35" s="4" t="n"/>
      <c r="Z35" s="4" t="n"/>
      <c r="AA35" s="4" t="n"/>
      <c r="AB35" s="4" t="n"/>
      <c r="AC35" s="4" t="n"/>
      <c r="AD35" s="4" t="n"/>
      <c r="AE35" s="4" t="n"/>
      <c r="AF35" s="4" t="n"/>
    </row>
    <row r="36">
      <c r="A36" s="4" t="n"/>
      <c r="B36" s="5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5" t="n"/>
      <c r="Y36" s="4" t="n"/>
      <c r="Z36" s="4" t="n"/>
      <c r="AA36" s="4" t="n"/>
      <c r="AB36" s="4" t="n"/>
      <c r="AC36" s="4" t="n"/>
      <c r="AD36" s="4" t="n"/>
      <c r="AE36" s="4" t="n"/>
      <c r="AF36" s="4" t="n"/>
    </row>
    <row r="37">
      <c r="A37" s="4" t="n"/>
      <c r="B37" s="5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5" t="n"/>
      <c r="Y37" s="4" t="n"/>
      <c r="Z37" s="4" t="n"/>
      <c r="AA37" s="4" t="n"/>
      <c r="AB37" s="4" t="n"/>
      <c r="AC37" s="4" t="n"/>
      <c r="AD37" s="4" t="n"/>
      <c r="AE37" s="4" t="n"/>
      <c r="AF37" s="4" t="n"/>
    </row>
    <row r="38">
      <c r="A38" s="4" t="n"/>
      <c r="B38" s="5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5" t="n"/>
      <c r="Y38" s="4" t="n"/>
      <c r="Z38" s="4" t="n"/>
      <c r="AA38" s="4" t="n"/>
      <c r="AB38" s="4" t="n"/>
      <c r="AC38" s="4" t="n"/>
      <c r="AD38" s="4" t="n"/>
      <c r="AE38" s="4" t="n"/>
      <c r="AF38" s="4" t="n"/>
    </row>
    <row r="39">
      <c r="A39" s="4" t="n"/>
      <c r="B39" s="5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5" t="n"/>
      <c r="Y39" s="4" t="n"/>
      <c r="Z39" s="4" t="n"/>
      <c r="AA39" s="4" t="n"/>
      <c r="AB39" s="4" t="n"/>
      <c r="AC39" s="4" t="n"/>
      <c r="AD39" s="4" t="n"/>
      <c r="AE39" s="4" t="n"/>
      <c r="AF39" s="4" t="n"/>
    </row>
    <row r="40">
      <c r="A40" s="4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4" t="n"/>
      <c r="Z40" s="4" t="n"/>
      <c r="AA40" s="4" t="n"/>
      <c r="AB40" s="4" t="n"/>
      <c r="AC40" s="4" t="n"/>
      <c r="AD40" s="4" t="n"/>
      <c r="AE40" s="4" t="n"/>
      <c r="AF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</row>
  </sheetData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82"/>
  <sheetViews>
    <sheetView zoomScaleNormal="100" workbookViewId="0">
      <selection activeCell="A1" sqref="A1"/>
    </sheetView>
  </sheetViews>
  <sheetFormatPr baseColWidth="10" defaultRowHeight="16"/>
  <cols>
    <col width="3.1640625" customWidth="1" style="3" min="1" max="3"/>
    <col width="11.5" customWidth="1" style="3" min="4" max="4"/>
    <col width="15.6640625" customWidth="1" style="3" min="5" max="5"/>
    <col width="16.6640625" customWidth="1" style="3" min="6" max="6"/>
    <col width="18.33203125" customWidth="1" style="3" min="8" max="8"/>
    <col width="13.33203125" customWidth="1" style="3" min="9" max="9"/>
    <col width="23.6640625" customWidth="1" style="3" min="11" max="11"/>
    <col width="16.1640625" customWidth="1" style="3" min="12" max="12"/>
    <col width="15.5" customWidth="1" style="3" min="13" max="13"/>
    <col width="15.1640625" customWidth="1" style="3" min="14" max="14"/>
    <col width="3.1640625" customWidth="1" style="3" min="15" max="15"/>
    <col width="3.33203125" customWidth="1" style="3" min="16" max="16"/>
    <col width="3.5" customWidth="1" style="3" min="17" max="17"/>
    <col width="3.1640625" customWidth="1" style="3" min="18" max="18"/>
    <col width="21" bestFit="1" customWidth="1" style="3" min="19" max="19"/>
    <col width="3.6640625" customWidth="1" style="3" min="21" max="21"/>
    <col width="3.1640625" customWidth="1" style="3" min="24" max="24"/>
  </cols>
  <sheetData>
    <row r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</row>
    <row r="2" ht="17" customHeight="1" s="3" thickBot="1">
      <c r="A2" s="4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4" t="n"/>
      <c r="R2" s="5" t="n"/>
      <c r="S2" s="5" t="n"/>
      <c r="T2" s="5" t="n"/>
      <c r="U2" s="5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</row>
    <row r="3" ht="18" customHeight="1" s="3" thickBot="1" thickTop="1">
      <c r="A3" s="4" t="n"/>
      <c r="B3" s="5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5" t="n"/>
      <c r="Q3" s="4" t="n"/>
      <c r="R3" s="5" t="n"/>
      <c r="S3" s="60" t="inlineStr">
        <is>
          <t>Număr Camere</t>
        </is>
      </c>
      <c r="T3" s="61">
        <f>COUNT(E5:E54)</f>
        <v/>
      </c>
      <c r="U3" s="5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 ht="18" customHeight="1" s="3" thickBot="1" thickTop="1">
      <c r="A4" s="4" t="n"/>
      <c r="B4" s="5" t="n"/>
      <c r="C4" s="4" t="n"/>
      <c r="D4" s="224" t="inlineStr">
        <is>
          <t>TIP VEHICUL</t>
        </is>
      </c>
      <c r="E4" s="225" t="inlineStr">
        <is>
          <t>NUMAR VEHICUL</t>
        </is>
      </c>
      <c r="F4" s="225" t="inlineStr">
        <is>
          <t>CAPACITATE (T)</t>
        </is>
      </c>
      <c r="G4" s="225" t="inlineStr">
        <is>
          <t>TIP COMBUSTIBIL</t>
        </is>
      </c>
      <c r="H4" s="225" t="inlineStr">
        <is>
          <t>GPS</t>
        </is>
      </c>
      <c r="I4" s="225" t="inlineStr">
        <is>
          <t>TARIF/KM</t>
        </is>
      </c>
      <c r="J4" s="225" t="inlineStr">
        <is>
          <t>AXE</t>
        </is>
      </c>
      <c r="K4" s="225" t="inlineStr">
        <is>
          <t>ITP VALABIL</t>
        </is>
      </c>
      <c r="L4" s="225" t="inlineStr">
        <is>
          <t>OCUPAT/LIBER</t>
        </is>
      </c>
      <c r="M4" s="8" t="inlineStr">
        <is>
          <t>DATA OCUPĂRII</t>
        </is>
      </c>
      <c r="N4" s="226" t="inlineStr">
        <is>
          <t>Status</t>
        </is>
      </c>
      <c r="O4" s="227" t="inlineStr">
        <is>
          <t>Numar</t>
        </is>
      </c>
      <c r="P4" s="5" t="n"/>
      <c r="Q4" s="4" t="n"/>
      <c r="R4" s="5" t="n"/>
      <c r="S4" s="62" t="inlineStr">
        <is>
          <t>Număr Camere Ocupate</t>
        </is>
      </c>
      <c r="T4" s="63">
        <f>COUNTA(M5:M54)</f>
        <v/>
      </c>
      <c r="U4" s="5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</row>
    <row r="5" ht="16" customHeight="1" s="3">
      <c r="A5" s="4" t="n"/>
      <c r="B5" s="5" t="n"/>
      <c r="C5" s="4" t="n"/>
      <c r="D5" s="216" t="inlineStr">
        <is>
          <t>Cameră Superioară</t>
        </is>
      </c>
      <c r="E5" s="10" t="n">
        <v>201</v>
      </c>
      <c r="F5" s="11" t="n">
        <v>27</v>
      </c>
      <c r="G5" s="12" t="inlineStr">
        <is>
          <t>Queen</t>
        </is>
      </c>
      <c r="H5" s="13" t="inlineStr">
        <is>
          <t>Nu</t>
        </is>
      </c>
      <c r="I5" s="14" t="n">
        <v>245</v>
      </c>
      <c r="J5" s="11" t="n">
        <v>2</v>
      </c>
      <c r="K5" s="15" t="inlineStr">
        <is>
          <t>Nu</t>
        </is>
      </c>
      <c r="L5" s="15" t="inlineStr">
        <is>
          <t>Liberă</t>
        </is>
      </c>
      <c r="M5" s="16" t="n"/>
      <c r="N5" s="17" t="inlineStr">
        <is>
          <t>Ocupat</t>
        </is>
      </c>
      <c r="O5" s="4">
        <f>COUNTIF(L5:L54,"Ocupată")</f>
        <v/>
      </c>
      <c r="P5" s="5" t="n"/>
      <c r="Q5" s="4" t="n"/>
      <c r="R5" s="5" t="n"/>
      <c r="S5" s="62" t="inlineStr">
        <is>
          <t>Număr Camere Libere</t>
        </is>
      </c>
      <c r="T5" s="63">
        <f>COUNTBLANK(M5:M54)</f>
        <v/>
      </c>
      <c r="U5" s="5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4" t="n"/>
      <c r="B6" s="5" t="n"/>
      <c r="C6" s="4" t="n"/>
      <c r="D6" s="228" t="n"/>
      <c r="E6" s="18" t="n">
        <v>203</v>
      </c>
      <c r="F6" s="19" t="n">
        <v>27</v>
      </c>
      <c r="G6" s="20" t="inlineStr">
        <is>
          <t>Queen</t>
        </is>
      </c>
      <c r="H6" s="21" t="inlineStr">
        <is>
          <t>Nu</t>
        </is>
      </c>
      <c r="I6" s="22" t="n">
        <v>245</v>
      </c>
      <c r="J6" s="19" t="n">
        <v>2</v>
      </c>
      <c r="K6" s="23" t="inlineStr">
        <is>
          <t>Nu</t>
        </is>
      </c>
      <c r="L6" s="23" t="inlineStr">
        <is>
          <t>Ocupată</t>
        </is>
      </c>
      <c r="M6" s="24" t="n">
        <v>43670</v>
      </c>
      <c r="N6" s="25" t="inlineStr">
        <is>
          <t>Liber</t>
        </is>
      </c>
      <c r="O6" s="4">
        <f>COUNTIF(L5:L54,"Liberă")</f>
        <v/>
      </c>
      <c r="P6" s="5" t="n"/>
      <c r="Q6" s="4" t="n"/>
      <c r="R6" s="5" t="n"/>
      <c r="S6" s="62" t="n"/>
      <c r="T6" s="63" t="n"/>
      <c r="U6" s="5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</row>
    <row r="7" ht="17" customHeight="1" s="3" thickBot="1">
      <c r="A7" s="4" t="n"/>
      <c r="B7" s="5" t="n"/>
      <c r="C7" s="4" t="n"/>
      <c r="D7" s="228" t="n"/>
      <c r="E7" s="18" t="n">
        <v>205</v>
      </c>
      <c r="F7" s="19" t="n">
        <v>27</v>
      </c>
      <c r="G7" s="20" t="inlineStr">
        <is>
          <t>Queen</t>
        </is>
      </c>
      <c r="H7" s="21" t="inlineStr">
        <is>
          <t>Nu</t>
        </is>
      </c>
      <c r="I7" s="22" t="n">
        <v>245</v>
      </c>
      <c r="J7" s="19" t="n">
        <v>2</v>
      </c>
      <c r="K7" s="23" t="inlineStr">
        <is>
          <t>Nu</t>
        </is>
      </c>
      <c r="L7" s="23" t="inlineStr">
        <is>
          <t>Ocupată</t>
        </is>
      </c>
      <c r="M7" s="24" t="n">
        <v>43665</v>
      </c>
      <c r="N7" s="25" t="n">
        <v>43675</v>
      </c>
      <c r="O7" s="4" t="n"/>
      <c r="P7" s="5" t="n"/>
      <c r="Q7" s="4" t="n"/>
      <c r="R7" s="5" t="n"/>
      <c r="S7" s="64" t="inlineStr">
        <is>
          <t xml:space="preserve">Procent de Ocupare </t>
        </is>
      </c>
      <c r="T7" s="65">
        <f>(T4/T3)</f>
        <v/>
      </c>
      <c r="U7" s="5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 ht="17" customHeight="1" s="3" thickTop="1">
      <c r="A8" s="4" t="n"/>
      <c r="B8" s="5" t="n"/>
      <c r="C8" s="4" t="n"/>
      <c r="D8" s="228" t="n"/>
      <c r="E8" s="18" t="n">
        <v>301</v>
      </c>
      <c r="F8" s="19" t="n">
        <v>27</v>
      </c>
      <c r="G8" s="20" t="inlineStr">
        <is>
          <t>Queen</t>
        </is>
      </c>
      <c r="H8" s="21" t="inlineStr">
        <is>
          <t>Nu</t>
        </is>
      </c>
      <c r="I8" s="22" t="n">
        <v>245</v>
      </c>
      <c r="J8" s="19" t="n">
        <v>3</v>
      </c>
      <c r="K8" s="23" t="inlineStr">
        <is>
          <t>Nu</t>
        </is>
      </c>
      <c r="L8" s="23" t="inlineStr">
        <is>
          <t>Ocupată</t>
        </is>
      </c>
      <c r="M8" s="24" t="n">
        <v>43668</v>
      </c>
      <c r="N8" s="25" t="n">
        <v>47325</v>
      </c>
      <c r="O8" s="4" t="n"/>
      <c r="P8" s="5" t="n"/>
      <c r="Q8" s="4" t="n"/>
      <c r="R8" s="5" t="n"/>
      <c r="S8" s="5" t="n"/>
      <c r="T8" s="5" t="n"/>
      <c r="U8" s="5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</row>
    <row r="9">
      <c r="A9" s="4" t="n"/>
      <c r="B9" s="5" t="n"/>
      <c r="C9" s="4" t="n"/>
      <c r="D9" s="228" t="n"/>
      <c r="E9" s="18" t="n">
        <v>303</v>
      </c>
      <c r="F9" s="19" t="n">
        <v>27</v>
      </c>
      <c r="G9" s="20" t="inlineStr">
        <is>
          <t>Queen</t>
        </is>
      </c>
      <c r="H9" s="21" t="inlineStr">
        <is>
          <t>Nu</t>
        </is>
      </c>
      <c r="I9" s="22" t="n">
        <v>245</v>
      </c>
      <c r="J9" s="19" t="n">
        <v>3</v>
      </c>
      <c r="K9" s="23" t="inlineStr">
        <is>
          <t>Nu</t>
        </is>
      </c>
      <c r="L9" s="23" t="inlineStr">
        <is>
          <t>Liberă</t>
        </is>
      </c>
      <c r="M9" s="24" t="n"/>
      <c r="N9" s="25" t="n"/>
      <c r="O9" s="4" t="n"/>
      <c r="P9" s="5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4" t="n"/>
      <c r="B10" s="5" t="n"/>
      <c r="C10" s="4" t="n"/>
      <c r="D10" s="228" t="n"/>
      <c r="E10" s="18" t="n">
        <v>305</v>
      </c>
      <c r="F10" s="19" t="n">
        <v>30</v>
      </c>
      <c r="G10" s="20" t="inlineStr">
        <is>
          <t>Queen</t>
        </is>
      </c>
      <c r="H10" s="21" t="inlineStr">
        <is>
          <t>Nu</t>
        </is>
      </c>
      <c r="I10" s="22" t="n">
        <v>245</v>
      </c>
      <c r="J10" s="19" t="n">
        <v>3</v>
      </c>
      <c r="K10" s="23" t="inlineStr">
        <is>
          <t>Nu</t>
        </is>
      </c>
      <c r="L10" s="23" t="inlineStr">
        <is>
          <t>Ocupată</t>
        </is>
      </c>
      <c r="M10" s="24" t="n">
        <v>43669</v>
      </c>
      <c r="N10" s="25" t="n">
        <v>43674</v>
      </c>
      <c r="O10" s="4" t="n"/>
      <c r="P10" s="5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</row>
    <row r="11">
      <c r="A11" s="4" t="n"/>
      <c r="B11" s="5" t="n"/>
      <c r="C11" s="4" t="n"/>
      <c r="D11" s="228" t="n"/>
      <c r="E11" s="18" t="n">
        <v>401</v>
      </c>
      <c r="F11" s="19" t="n">
        <v>30</v>
      </c>
      <c r="G11" s="20" t="inlineStr">
        <is>
          <t>Queen</t>
        </is>
      </c>
      <c r="H11" s="21" t="inlineStr">
        <is>
          <t>Da</t>
        </is>
      </c>
      <c r="I11" s="22" t="n">
        <v>280</v>
      </c>
      <c r="J11" s="19" t="n">
        <v>4</v>
      </c>
      <c r="K11" s="23" t="inlineStr">
        <is>
          <t>Nu</t>
        </is>
      </c>
      <c r="L11" s="23" t="inlineStr">
        <is>
          <t>Ocupată</t>
        </is>
      </c>
      <c r="M11" s="24" t="n">
        <v>43671</v>
      </c>
      <c r="N11" s="25" t="n">
        <v>43672</v>
      </c>
      <c r="O11" s="4" t="n"/>
      <c r="P11" s="5" t="n"/>
      <c r="Q11" s="4" t="n"/>
      <c r="R11" s="5" t="n"/>
      <c r="S11" s="5" t="n"/>
      <c r="T11" s="5" t="n"/>
      <c r="U11" s="5" t="n"/>
      <c r="V11" s="5" t="n"/>
      <c r="W11" s="5" t="n"/>
      <c r="X11" s="5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4" t="n"/>
      <c r="B12" s="5" t="n"/>
      <c r="C12" s="4" t="n"/>
      <c r="D12" s="228" t="n"/>
      <c r="E12" s="18" t="n">
        <v>403</v>
      </c>
      <c r="F12" s="19" t="n">
        <v>30</v>
      </c>
      <c r="G12" s="20" t="inlineStr">
        <is>
          <t>Queen</t>
        </is>
      </c>
      <c r="H12" s="21" t="inlineStr">
        <is>
          <t>Nu</t>
        </is>
      </c>
      <c r="I12" s="22" t="n">
        <v>245</v>
      </c>
      <c r="J12" s="19" t="n">
        <v>4</v>
      </c>
      <c r="K12" s="23" t="inlineStr">
        <is>
          <t>Nu</t>
        </is>
      </c>
      <c r="L12" s="23" t="inlineStr">
        <is>
          <t>Ocupată</t>
        </is>
      </c>
      <c r="M12" s="24" t="n">
        <v>43670</v>
      </c>
      <c r="N12" s="25" t="n">
        <v>43675</v>
      </c>
      <c r="O12" s="4" t="n"/>
      <c r="P12" s="5" t="n"/>
      <c r="Q12" s="4" t="n"/>
      <c r="R12" s="5" t="n"/>
      <c r="S12" s="4" t="n"/>
      <c r="T12" s="4" t="n"/>
      <c r="U12" s="4" t="n"/>
      <c r="V12" s="4" t="n"/>
      <c r="W12" s="4" t="n"/>
      <c r="X12" s="5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</row>
    <row r="13">
      <c r="A13" s="4" t="n"/>
      <c r="B13" s="5" t="n"/>
      <c r="C13" s="4" t="n"/>
      <c r="D13" s="228" t="n"/>
      <c r="E13" s="18" t="n">
        <v>405</v>
      </c>
      <c r="F13" s="19" t="n">
        <v>30</v>
      </c>
      <c r="G13" s="20" t="inlineStr">
        <is>
          <t>Queen</t>
        </is>
      </c>
      <c r="H13" s="21" t="inlineStr">
        <is>
          <t>Da</t>
        </is>
      </c>
      <c r="I13" s="22" t="n">
        <v>280</v>
      </c>
      <c r="J13" s="19" t="n">
        <v>4</v>
      </c>
      <c r="K13" s="23" t="inlineStr">
        <is>
          <t>Nu</t>
        </is>
      </c>
      <c r="L13" s="23" t="inlineStr">
        <is>
          <t>Liberă</t>
        </is>
      </c>
      <c r="M13" s="24" t="n"/>
      <c r="N13" s="25" t="n"/>
      <c r="O13" s="4" t="n"/>
      <c r="P13" s="5" t="n"/>
      <c r="Q13" s="4" t="n"/>
      <c r="R13" s="5" t="n"/>
      <c r="S13" s="4" t="n"/>
      <c r="T13" s="4" t="n"/>
      <c r="U13" s="4" t="n"/>
      <c r="V13" s="4" t="n"/>
      <c r="W13" s="4" t="n"/>
      <c r="X13" s="5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4" t="n"/>
      <c r="B14" s="5" t="n"/>
      <c r="C14" s="4" t="n"/>
      <c r="D14" s="228" t="n"/>
      <c r="E14" s="18" t="n">
        <v>501</v>
      </c>
      <c r="F14" s="19" t="n">
        <v>30</v>
      </c>
      <c r="G14" s="20" t="inlineStr">
        <is>
          <t>Queen</t>
        </is>
      </c>
      <c r="H14" s="21" t="inlineStr">
        <is>
          <t>Nu</t>
        </is>
      </c>
      <c r="I14" s="22" t="n">
        <v>245</v>
      </c>
      <c r="J14" s="19" t="n">
        <v>5</v>
      </c>
      <c r="K14" s="23" t="inlineStr">
        <is>
          <t>Nu</t>
        </is>
      </c>
      <c r="L14" s="23" t="inlineStr">
        <is>
          <t>Ocupată</t>
        </is>
      </c>
      <c r="M14" s="24" t="n">
        <v>43669</v>
      </c>
      <c r="N14" s="25" t="n">
        <v>43671</v>
      </c>
      <c r="O14" s="4" t="n"/>
      <c r="P14" s="5" t="n"/>
      <c r="Q14" s="4" t="n"/>
      <c r="R14" s="5" t="n"/>
      <c r="S14" s="4" t="n"/>
      <c r="T14" s="4" t="n"/>
      <c r="U14" s="4" t="n"/>
      <c r="V14" s="4" t="n"/>
      <c r="W14" s="4" t="n"/>
      <c r="X14" s="5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</row>
    <row r="15" ht="17" customHeight="1" s="3" thickBot="1">
      <c r="A15" s="4" t="n"/>
      <c r="B15" s="5" t="n"/>
      <c r="C15" s="4" t="n"/>
      <c r="D15" s="229" t="n"/>
      <c r="E15" s="26" t="n">
        <v>503</v>
      </c>
      <c r="F15" s="27" t="n">
        <v>30</v>
      </c>
      <c r="G15" s="28" t="inlineStr">
        <is>
          <t>Queen</t>
        </is>
      </c>
      <c r="H15" s="29" t="inlineStr">
        <is>
          <t>Da</t>
        </is>
      </c>
      <c r="I15" s="30" t="n">
        <v>280</v>
      </c>
      <c r="J15" s="27" t="n">
        <v>5</v>
      </c>
      <c r="K15" s="31" t="inlineStr">
        <is>
          <t>Nu</t>
        </is>
      </c>
      <c r="L15" s="31" t="inlineStr">
        <is>
          <t>Ocupată</t>
        </is>
      </c>
      <c r="M15" s="32" t="n">
        <v>43666</v>
      </c>
      <c r="N15" s="33" t="n">
        <v>43671</v>
      </c>
      <c r="O15" s="4" t="n"/>
      <c r="P15" s="5" t="n"/>
      <c r="Q15" s="4" t="n"/>
      <c r="R15" s="5" t="n"/>
      <c r="S15" s="4" t="n"/>
      <c r="T15" s="4" t="n"/>
      <c r="U15" s="4" t="n"/>
      <c r="V15" s="4" t="n"/>
      <c r="W15" s="4" t="n"/>
      <c r="X15" s="5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 ht="16" customHeight="1" s="3">
      <c r="A16" s="4" t="n"/>
      <c r="B16" s="5" t="n"/>
      <c r="C16" s="4" t="n"/>
      <c r="D16" s="216" t="inlineStr">
        <is>
          <t>Cameră Delux</t>
        </is>
      </c>
      <c r="E16" s="10" t="n">
        <v>202</v>
      </c>
      <c r="F16" s="11" t="n">
        <v>34</v>
      </c>
      <c r="G16" s="12" t="inlineStr">
        <is>
          <t>Queen</t>
        </is>
      </c>
      <c r="H16" s="13" t="inlineStr">
        <is>
          <t>Nu</t>
        </is>
      </c>
      <c r="I16" s="14" t="n">
        <v>465</v>
      </c>
      <c r="J16" s="11" t="n">
        <v>2</v>
      </c>
      <c r="K16" s="15" t="inlineStr">
        <is>
          <t>Nu</t>
        </is>
      </c>
      <c r="L16" s="15" t="inlineStr">
        <is>
          <t>Ocupată</t>
        </is>
      </c>
      <c r="M16" s="16" t="n">
        <v>43668</v>
      </c>
      <c r="N16" s="17" t="n">
        <v>43673</v>
      </c>
      <c r="O16" s="4" t="n"/>
      <c r="P16" s="5" t="n"/>
      <c r="Q16" s="4" t="n"/>
      <c r="R16" s="5" t="n"/>
      <c r="S16" s="4" t="n"/>
      <c r="T16" s="4" t="n"/>
      <c r="U16" s="4" t="n"/>
      <c r="V16" s="4" t="n"/>
      <c r="W16" s="4" t="n"/>
      <c r="X16" s="5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</row>
    <row r="17">
      <c r="A17" s="4" t="n"/>
      <c r="B17" s="5" t="n"/>
      <c r="C17" s="4" t="n"/>
      <c r="D17" s="228" t="n"/>
      <c r="E17" s="18" t="n">
        <v>204</v>
      </c>
      <c r="F17" s="19" t="n">
        <v>34</v>
      </c>
      <c r="G17" s="20" t="inlineStr">
        <is>
          <t>Queen</t>
        </is>
      </c>
      <c r="H17" s="21" t="inlineStr">
        <is>
          <t>Nu</t>
        </is>
      </c>
      <c r="I17" s="22" t="n">
        <v>465</v>
      </c>
      <c r="J17" s="19" t="n">
        <v>2</v>
      </c>
      <c r="K17" s="23" t="inlineStr">
        <is>
          <t>Nu</t>
        </is>
      </c>
      <c r="L17" s="23" t="inlineStr">
        <is>
          <t>Ocupată</t>
        </is>
      </c>
      <c r="M17" s="24" t="n">
        <v>43669</v>
      </c>
      <c r="N17" s="25" t="n">
        <v>43673</v>
      </c>
      <c r="O17" s="4" t="n"/>
      <c r="P17" s="5" t="n"/>
      <c r="Q17" s="4" t="n"/>
      <c r="R17" s="5" t="n"/>
      <c r="S17" s="4" t="n"/>
      <c r="T17" s="4" t="n"/>
      <c r="U17" s="4" t="n"/>
      <c r="V17" s="4" t="n"/>
      <c r="W17" s="4" t="n"/>
      <c r="X17" s="5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4" t="n"/>
      <c r="B18" s="5" t="n"/>
      <c r="C18" s="4" t="n"/>
      <c r="D18" s="228" t="n"/>
      <c r="E18" s="18" t="n">
        <v>206</v>
      </c>
      <c r="F18" s="19" t="n">
        <v>34</v>
      </c>
      <c r="G18" s="20" t="inlineStr">
        <is>
          <t>Queen</t>
        </is>
      </c>
      <c r="H18" s="21" t="inlineStr">
        <is>
          <t>Nu</t>
        </is>
      </c>
      <c r="I18" s="22" t="n">
        <v>465</v>
      </c>
      <c r="J18" s="19" t="n">
        <v>2</v>
      </c>
      <c r="K18" s="23" t="inlineStr">
        <is>
          <t>Nu</t>
        </is>
      </c>
      <c r="L18" s="23" t="inlineStr">
        <is>
          <t>Liberă</t>
        </is>
      </c>
      <c r="M18" s="24" t="n"/>
      <c r="N18" s="25" t="n"/>
      <c r="O18" s="4" t="n"/>
      <c r="P18" s="5" t="n"/>
      <c r="Q18" s="4" t="n"/>
      <c r="R18" s="5" t="n"/>
      <c r="S18" s="4" t="n"/>
      <c r="T18" s="4" t="n"/>
      <c r="U18" s="4" t="n"/>
      <c r="V18" s="4" t="n"/>
      <c r="W18" s="4" t="n"/>
      <c r="X18" s="5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</row>
    <row r="19">
      <c r="A19" s="4" t="n"/>
      <c r="B19" s="5" t="n"/>
      <c r="C19" s="4" t="n"/>
      <c r="D19" s="228" t="n"/>
      <c r="E19" s="18" t="n">
        <v>302</v>
      </c>
      <c r="F19" s="19" t="n">
        <v>34</v>
      </c>
      <c r="G19" s="20" t="inlineStr">
        <is>
          <t>Queen</t>
        </is>
      </c>
      <c r="H19" s="21" t="inlineStr">
        <is>
          <t>Nu</t>
        </is>
      </c>
      <c r="I19" s="22" t="n">
        <v>465</v>
      </c>
      <c r="J19" s="19" t="n">
        <v>3</v>
      </c>
      <c r="K19" s="23" t="inlineStr">
        <is>
          <t>Nu</t>
        </is>
      </c>
      <c r="L19" s="23" t="inlineStr">
        <is>
          <t>Ocupată</t>
        </is>
      </c>
      <c r="M19" s="24" t="n">
        <v>43668</v>
      </c>
      <c r="N19" s="25" t="n">
        <v>43671</v>
      </c>
      <c r="O19" s="4" t="n"/>
      <c r="P19" s="5" t="n"/>
      <c r="Q19" s="4" t="n"/>
      <c r="R19" s="5" t="n"/>
      <c r="S19" s="4" t="n"/>
      <c r="T19" s="4" t="n"/>
      <c r="U19" s="4" t="n"/>
      <c r="V19" s="4" t="n"/>
      <c r="W19" s="4" t="n"/>
      <c r="X19" s="5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4" t="n"/>
      <c r="B20" s="5" t="n"/>
      <c r="C20" s="4" t="n"/>
      <c r="D20" s="228" t="n"/>
      <c r="E20" s="18" t="n">
        <v>304</v>
      </c>
      <c r="F20" s="19" t="n">
        <v>34</v>
      </c>
      <c r="G20" s="20" t="inlineStr">
        <is>
          <t>Queen</t>
        </is>
      </c>
      <c r="H20" s="21" t="inlineStr">
        <is>
          <t>Nu</t>
        </is>
      </c>
      <c r="I20" s="22" t="n">
        <v>465</v>
      </c>
      <c r="J20" s="19" t="n">
        <v>3</v>
      </c>
      <c r="K20" s="23" t="inlineStr">
        <is>
          <t>Nu</t>
        </is>
      </c>
      <c r="L20" s="23" t="inlineStr">
        <is>
          <t>Ocupată</t>
        </is>
      </c>
      <c r="M20" s="24" t="n">
        <v>43667</v>
      </c>
      <c r="N20" s="25" t="n">
        <v>43672</v>
      </c>
      <c r="O20" s="4" t="n"/>
      <c r="P20" s="5" t="n"/>
      <c r="Q20" s="4" t="n"/>
      <c r="R20" s="5" t="n"/>
      <c r="S20" s="4" t="n"/>
      <c r="T20" s="4" t="n"/>
      <c r="U20" s="4" t="n"/>
      <c r="V20" s="4" t="n"/>
      <c r="W20" s="4" t="n"/>
      <c r="X20" s="5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</row>
    <row r="21">
      <c r="A21" s="4" t="n"/>
      <c r="B21" s="5" t="n"/>
      <c r="C21" s="4" t="n"/>
      <c r="D21" s="228" t="n"/>
      <c r="E21" s="18" t="n">
        <v>306</v>
      </c>
      <c r="F21" s="19" t="n">
        <v>38</v>
      </c>
      <c r="G21" s="20" t="inlineStr">
        <is>
          <t>King</t>
        </is>
      </c>
      <c r="H21" s="21" t="inlineStr">
        <is>
          <t>Nu</t>
        </is>
      </c>
      <c r="I21" s="22" t="n">
        <v>465</v>
      </c>
      <c r="J21" s="19" t="n">
        <v>3</v>
      </c>
      <c r="K21" s="23" t="inlineStr">
        <is>
          <t>Nu</t>
        </is>
      </c>
      <c r="L21" s="23" t="inlineStr">
        <is>
          <t>Liberă</t>
        </is>
      </c>
      <c r="M21" s="24" t="n"/>
      <c r="N21" s="25" t="n"/>
      <c r="O21" s="4" t="n"/>
      <c r="P21" s="5" t="n"/>
      <c r="Q21" s="4" t="n"/>
      <c r="R21" s="5" t="n"/>
      <c r="S21" s="4" t="n"/>
      <c r="T21" s="4" t="n"/>
      <c r="U21" s="4" t="n"/>
      <c r="V21" s="4" t="n"/>
      <c r="W21" s="4" t="n"/>
      <c r="X21" s="5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4" t="n"/>
      <c r="B22" s="5" t="n"/>
      <c r="C22" s="4" t="n"/>
      <c r="D22" s="228" t="n"/>
      <c r="E22" s="18" t="n">
        <v>402</v>
      </c>
      <c r="F22" s="19" t="n">
        <v>38</v>
      </c>
      <c r="G22" s="20" t="inlineStr">
        <is>
          <t>King</t>
        </is>
      </c>
      <c r="H22" s="21" t="inlineStr">
        <is>
          <t>Da</t>
        </is>
      </c>
      <c r="I22" s="22" t="n">
        <v>500</v>
      </c>
      <c r="J22" s="19" t="n">
        <v>4</v>
      </c>
      <c r="K22" s="23" t="inlineStr">
        <is>
          <t>Nu</t>
        </is>
      </c>
      <c r="L22" s="23" t="inlineStr">
        <is>
          <t>Ocupată</t>
        </is>
      </c>
      <c r="M22" s="24" t="n">
        <v>43668</v>
      </c>
      <c r="N22" s="25" t="n">
        <v>43675</v>
      </c>
      <c r="O22" s="4" t="n"/>
      <c r="P22" s="5" t="n"/>
      <c r="Q22" s="4" t="n"/>
      <c r="R22" s="5" t="n"/>
      <c r="S22" s="4" t="n"/>
      <c r="T22" s="4" t="n"/>
      <c r="U22" s="4" t="n"/>
      <c r="V22" s="4" t="n"/>
      <c r="W22" s="4" t="n"/>
      <c r="X22" s="5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</row>
    <row r="23">
      <c r="A23" s="4" t="n"/>
      <c r="B23" s="5" t="n"/>
      <c r="C23" s="4" t="n"/>
      <c r="D23" s="228" t="n"/>
      <c r="E23" s="18" t="n">
        <v>404</v>
      </c>
      <c r="F23" s="19" t="n">
        <v>38</v>
      </c>
      <c r="G23" s="20" t="inlineStr">
        <is>
          <t>King</t>
        </is>
      </c>
      <c r="H23" s="21" t="inlineStr">
        <is>
          <t>Nu</t>
        </is>
      </c>
      <c r="I23" s="22" t="n">
        <v>465</v>
      </c>
      <c r="J23" s="19" t="n">
        <v>4</v>
      </c>
      <c r="K23" s="23" t="inlineStr">
        <is>
          <t>Nu</t>
        </is>
      </c>
      <c r="L23" s="23" t="inlineStr">
        <is>
          <t>Ocupată</t>
        </is>
      </c>
      <c r="M23" s="24" t="n">
        <v>43671</v>
      </c>
      <c r="N23" s="25" t="n">
        <v>43672</v>
      </c>
      <c r="O23" s="4" t="n"/>
      <c r="P23" s="5" t="n"/>
      <c r="Q23" s="4" t="n"/>
      <c r="R23" s="5" t="n"/>
      <c r="S23" s="4" t="n"/>
      <c r="T23" s="4" t="n"/>
      <c r="U23" s="4" t="n"/>
      <c r="V23" s="4" t="n"/>
      <c r="W23" s="4" t="n"/>
      <c r="X23" s="5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4" t="n"/>
      <c r="B24" s="5" t="n"/>
      <c r="C24" s="4" t="n"/>
      <c r="D24" s="228" t="n"/>
      <c r="E24" s="18" t="n">
        <v>406</v>
      </c>
      <c r="F24" s="19" t="n">
        <v>38</v>
      </c>
      <c r="G24" s="20" t="inlineStr">
        <is>
          <t>King</t>
        </is>
      </c>
      <c r="H24" s="21" t="inlineStr">
        <is>
          <t>Da</t>
        </is>
      </c>
      <c r="I24" s="22" t="n">
        <v>500</v>
      </c>
      <c r="J24" s="19" t="n">
        <v>4</v>
      </c>
      <c r="K24" s="23" t="inlineStr">
        <is>
          <t>Nu</t>
        </is>
      </c>
      <c r="L24" s="23" t="inlineStr">
        <is>
          <t>Ocupată</t>
        </is>
      </c>
      <c r="M24" s="24" t="n">
        <v>43670</v>
      </c>
      <c r="N24" s="25" t="n">
        <v>43672</v>
      </c>
      <c r="O24" s="4" t="n"/>
      <c r="P24" s="5" t="n"/>
      <c r="Q24" s="4" t="n"/>
      <c r="R24" s="5" t="n"/>
      <c r="S24" s="4" t="n"/>
      <c r="T24" s="4" t="n"/>
      <c r="U24" s="4" t="n"/>
      <c r="V24" s="4" t="n"/>
      <c r="W24" s="4" t="n"/>
      <c r="X24" s="5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</row>
    <row r="25">
      <c r="A25" s="4" t="n"/>
      <c r="B25" s="5" t="n"/>
      <c r="C25" s="4" t="n"/>
      <c r="D25" s="228" t="n"/>
      <c r="E25" s="18" t="n">
        <v>502</v>
      </c>
      <c r="F25" s="19" t="n">
        <v>38</v>
      </c>
      <c r="G25" s="20" t="inlineStr">
        <is>
          <t>King</t>
        </is>
      </c>
      <c r="H25" s="21" t="inlineStr">
        <is>
          <t>Nu</t>
        </is>
      </c>
      <c r="I25" s="22" t="n">
        <v>465</v>
      </c>
      <c r="J25" s="19" t="n">
        <v>5</v>
      </c>
      <c r="K25" s="23" t="inlineStr">
        <is>
          <t>Nu</t>
        </is>
      </c>
      <c r="L25" s="23" t="inlineStr">
        <is>
          <t>Liberă</t>
        </is>
      </c>
      <c r="M25" s="24" t="n"/>
      <c r="N25" s="25" t="n"/>
      <c r="O25" s="4" t="n"/>
      <c r="P25" s="5" t="n"/>
      <c r="Q25" s="4" t="n"/>
      <c r="R25" s="5" t="n"/>
      <c r="S25" s="4" t="n"/>
      <c r="T25" s="4" t="n"/>
      <c r="U25" s="4" t="n"/>
      <c r="V25" s="4" t="n"/>
      <c r="W25" s="4" t="n"/>
      <c r="X25" s="5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 ht="17" customHeight="1" s="3" thickBot="1">
      <c r="A26" s="4" t="n"/>
      <c r="B26" s="5" t="n"/>
      <c r="C26" s="4" t="n"/>
      <c r="D26" s="229" t="n"/>
      <c r="E26" s="26" t="n">
        <v>504</v>
      </c>
      <c r="F26" s="27" t="n">
        <v>38</v>
      </c>
      <c r="G26" s="28" t="inlineStr">
        <is>
          <t>King</t>
        </is>
      </c>
      <c r="H26" s="29" t="inlineStr">
        <is>
          <t>Da</t>
        </is>
      </c>
      <c r="I26" s="30" t="n">
        <v>500</v>
      </c>
      <c r="J26" s="27" t="n">
        <v>5</v>
      </c>
      <c r="K26" s="31" t="inlineStr">
        <is>
          <t>Nu</t>
        </is>
      </c>
      <c r="L26" s="31" t="inlineStr">
        <is>
          <t>Ocupată</t>
        </is>
      </c>
      <c r="M26" s="32" t="n">
        <v>43668</v>
      </c>
      <c r="N26" s="33" t="n">
        <v>43674</v>
      </c>
      <c r="O26" s="4" t="n"/>
      <c r="P26" s="5" t="n"/>
      <c r="Q26" s="4" t="n"/>
      <c r="R26" s="5" t="n"/>
      <c r="S26" s="5" t="n"/>
      <c r="T26" s="5" t="n"/>
      <c r="U26" s="5" t="n"/>
      <c r="V26" s="5" t="n"/>
      <c r="W26" s="5" t="n"/>
      <c r="X26" s="5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</row>
    <row r="27">
      <c r="A27" s="4" t="n"/>
      <c r="B27" s="5" t="n"/>
      <c r="C27" s="4" t="n"/>
      <c r="D27" s="219" t="inlineStr">
        <is>
          <t>Cameră Palais</t>
        </is>
      </c>
      <c r="E27" s="34" t="n">
        <v>207</v>
      </c>
      <c r="F27" s="35" t="n">
        <v>41</v>
      </c>
      <c r="G27" s="36" t="inlineStr">
        <is>
          <t>King</t>
        </is>
      </c>
      <c r="H27" s="37" t="inlineStr">
        <is>
          <t>Nu</t>
        </is>
      </c>
      <c r="I27" s="38" t="n">
        <v>685</v>
      </c>
      <c r="J27" s="35" t="n">
        <v>2</v>
      </c>
      <c r="K27" s="39" t="inlineStr">
        <is>
          <t>Nu</t>
        </is>
      </c>
      <c r="L27" s="39" t="inlineStr">
        <is>
          <t>Ocupată</t>
        </is>
      </c>
      <c r="M27" s="40" t="n">
        <v>43667</v>
      </c>
      <c r="N27" s="41" t="n">
        <v>43671</v>
      </c>
      <c r="O27" s="4" t="n"/>
      <c r="P27" s="5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4" t="n"/>
      <c r="B28" s="5" t="n"/>
      <c r="C28" s="4" t="n"/>
      <c r="D28" s="228" t="n"/>
      <c r="E28" s="18" t="n">
        <v>208</v>
      </c>
      <c r="F28" s="19" t="n">
        <v>41</v>
      </c>
      <c r="G28" s="20" t="inlineStr">
        <is>
          <t>King</t>
        </is>
      </c>
      <c r="H28" s="21" t="inlineStr">
        <is>
          <t>Nu</t>
        </is>
      </c>
      <c r="I28" s="22" t="n">
        <v>685</v>
      </c>
      <c r="J28" s="19" t="n">
        <v>2</v>
      </c>
      <c r="K28" s="23" t="inlineStr">
        <is>
          <t>Nu</t>
        </is>
      </c>
      <c r="L28" s="23" t="inlineStr">
        <is>
          <t>Ocupată</t>
        </is>
      </c>
      <c r="M28" s="24" t="n">
        <v>43669</v>
      </c>
      <c r="N28" s="25" t="n">
        <v>43674</v>
      </c>
      <c r="O28" s="4" t="n"/>
      <c r="P28" s="5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</row>
    <row r="29">
      <c r="A29" s="4" t="n"/>
      <c r="B29" s="5" t="n"/>
      <c r="C29" s="4" t="n"/>
      <c r="D29" s="228" t="n"/>
      <c r="E29" s="18" t="n">
        <v>209</v>
      </c>
      <c r="F29" s="19" t="n">
        <v>41</v>
      </c>
      <c r="G29" s="20" t="inlineStr">
        <is>
          <t>King</t>
        </is>
      </c>
      <c r="H29" s="21" t="inlineStr">
        <is>
          <t>Nu</t>
        </is>
      </c>
      <c r="I29" s="22" t="n">
        <v>685</v>
      </c>
      <c r="J29" s="19" t="n">
        <v>2</v>
      </c>
      <c r="K29" s="23" t="inlineStr">
        <is>
          <t>Nu</t>
        </is>
      </c>
      <c r="L29" s="23" t="inlineStr">
        <is>
          <t>Ocupată</t>
        </is>
      </c>
      <c r="M29" s="24" t="n">
        <v>43670</v>
      </c>
      <c r="N29" s="25" t="n">
        <v>43672</v>
      </c>
      <c r="O29" s="4" t="n"/>
      <c r="P29" s="5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4" t="n"/>
      <c r="B30" s="5" t="n"/>
      <c r="C30" s="4" t="n"/>
      <c r="D30" s="228" t="n"/>
      <c r="E30" s="18" t="n">
        <v>307</v>
      </c>
      <c r="F30" s="19" t="n">
        <v>41</v>
      </c>
      <c r="G30" s="20" t="inlineStr">
        <is>
          <t>King</t>
        </is>
      </c>
      <c r="H30" s="21" t="inlineStr">
        <is>
          <t>Nu</t>
        </is>
      </c>
      <c r="I30" s="22" t="n">
        <v>685</v>
      </c>
      <c r="J30" s="19" t="n">
        <v>3</v>
      </c>
      <c r="K30" s="23" t="inlineStr">
        <is>
          <t>Nu</t>
        </is>
      </c>
      <c r="L30" s="23" t="inlineStr">
        <is>
          <t>Ocupată</t>
        </is>
      </c>
      <c r="M30" s="24" t="n">
        <v>43670</v>
      </c>
      <c r="N30" s="25" t="n">
        <v>43672</v>
      </c>
      <c r="O30" s="4" t="n"/>
      <c r="P30" s="5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</row>
    <row r="31">
      <c r="A31" s="4" t="n"/>
      <c r="B31" s="5" t="n"/>
      <c r="C31" s="4" t="n"/>
      <c r="D31" s="228" t="n"/>
      <c r="E31" s="18" t="n">
        <v>308</v>
      </c>
      <c r="F31" s="19" t="n">
        <v>41</v>
      </c>
      <c r="G31" s="20" t="inlineStr">
        <is>
          <t>King</t>
        </is>
      </c>
      <c r="H31" s="21" t="inlineStr">
        <is>
          <t>Nu</t>
        </is>
      </c>
      <c r="I31" s="22" t="n">
        <v>685</v>
      </c>
      <c r="J31" s="19" t="n">
        <v>3</v>
      </c>
      <c r="K31" s="23" t="inlineStr">
        <is>
          <t>Nu</t>
        </is>
      </c>
      <c r="L31" s="23" t="inlineStr">
        <is>
          <t>Ocupată</t>
        </is>
      </c>
      <c r="M31" s="24" t="n">
        <v>43665</v>
      </c>
      <c r="N31" s="25" t="n">
        <v>43672</v>
      </c>
      <c r="O31" s="4" t="n"/>
      <c r="P31" s="5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4" t="n"/>
      <c r="B32" s="5" t="n"/>
      <c r="C32" s="4" t="n"/>
      <c r="D32" s="228" t="n"/>
      <c r="E32" s="18" t="n">
        <v>309</v>
      </c>
      <c r="F32" s="19" t="n">
        <v>41</v>
      </c>
      <c r="G32" s="20" t="inlineStr">
        <is>
          <t>King</t>
        </is>
      </c>
      <c r="H32" s="21" t="inlineStr">
        <is>
          <t>Nu</t>
        </is>
      </c>
      <c r="I32" s="22" t="n">
        <v>685</v>
      </c>
      <c r="J32" s="19" t="n">
        <v>3</v>
      </c>
      <c r="K32" s="23" t="inlineStr">
        <is>
          <t>Nu</t>
        </is>
      </c>
      <c r="L32" s="23" t="inlineStr">
        <is>
          <t>Liberă</t>
        </is>
      </c>
      <c r="M32" s="24" t="n"/>
      <c r="N32" s="25" t="n"/>
      <c r="O32" s="4" t="n"/>
      <c r="P32" s="5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</row>
    <row r="33">
      <c r="A33" s="4" t="n"/>
      <c r="B33" s="5" t="n"/>
      <c r="C33" s="4" t="n"/>
      <c r="D33" s="228" t="n"/>
      <c r="E33" s="18" t="n">
        <v>407</v>
      </c>
      <c r="F33" s="19" t="n">
        <v>41</v>
      </c>
      <c r="G33" s="20" t="inlineStr">
        <is>
          <t>King</t>
        </is>
      </c>
      <c r="H33" s="21" t="inlineStr">
        <is>
          <t>Da</t>
        </is>
      </c>
      <c r="I33" s="22" t="n">
        <v>700</v>
      </c>
      <c r="J33" s="19" t="n">
        <v>4</v>
      </c>
      <c r="K33" s="23" t="inlineStr">
        <is>
          <t>Nu</t>
        </is>
      </c>
      <c r="L33" s="23" t="inlineStr">
        <is>
          <t>Ocupată</t>
        </is>
      </c>
      <c r="M33" s="24" t="n">
        <v>43666</v>
      </c>
      <c r="N33" s="25" t="n">
        <v>43675</v>
      </c>
      <c r="O33" s="4" t="n"/>
      <c r="P33" s="5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4" t="n"/>
      <c r="B34" s="5" t="n"/>
      <c r="C34" s="4" t="n"/>
      <c r="D34" s="228" t="n"/>
      <c r="E34" s="18" t="n">
        <v>408</v>
      </c>
      <c r="F34" s="19" t="n">
        <v>41</v>
      </c>
      <c r="G34" s="20" t="inlineStr">
        <is>
          <t>King</t>
        </is>
      </c>
      <c r="H34" s="21" t="inlineStr">
        <is>
          <t>Nu</t>
        </is>
      </c>
      <c r="I34" s="22" t="n">
        <v>685</v>
      </c>
      <c r="J34" s="19" t="n">
        <v>4</v>
      </c>
      <c r="K34" s="23" t="inlineStr">
        <is>
          <t>Nu</t>
        </is>
      </c>
      <c r="L34" s="23" t="inlineStr">
        <is>
          <t>Ocupată</t>
        </is>
      </c>
      <c r="M34" s="24" t="n">
        <v>43668</v>
      </c>
      <c r="N34" s="25" t="n">
        <v>43671</v>
      </c>
      <c r="O34" s="4" t="n"/>
      <c r="P34" s="5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</row>
    <row r="35">
      <c r="A35" s="4" t="n"/>
      <c r="B35" s="5" t="n"/>
      <c r="C35" s="4" t="n"/>
      <c r="D35" s="228" t="n"/>
      <c r="E35" s="18" t="n">
        <v>409</v>
      </c>
      <c r="F35" s="19" t="n">
        <v>41</v>
      </c>
      <c r="G35" s="20" t="inlineStr">
        <is>
          <t>King</t>
        </is>
      </c>
      <c r="H35" s="21" t="inlineStr">
        <is>
          <t>Da</t>
        </is>
      </c>
      <c r="I35" s="22" t="n">
        <v>700</v>
      </c>
      <c r="J35" s="19" t="n">
        <v>4</v>
      </c>
      <c r="K35" s="23" t="inlineStr">
        <is>
          <t>Nu</t>
        </is>
      </c>
      <c r="L35" s="23" t="inlineStr">
        <is>
          <t>Ocupată</t>
        </is>
      </c>
      <c r="M35" s="24" t="n">
        <v>43670</v>
      </c>
      <c r="N35" s="25" t="n">
        <v>43672</v>
      </c>
      <c r="O35" s="4" t="n"/>
      <c r="P35" s="5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4" t="n"/>
      <c r="B36" s="5" t="n"/>
      <c r="C36" s="4" t="n"/>
      <c r="D36" s="228" t="n"/>
      <c r="E36" s="18" t="n">
        <v>507</v>
      </c>
      <c r="F36" s="19" t="n">
        <v>41</v>
      </c>
      <c r="G36" s="20" t="inlineStr">
        <is>
          <t>King</t>
        </is>
      </c>
      <c r="H36" s="21" t="inlineStr">
        <is>
          <t>Nu</t>
        </is>
      </c>
      <c r="I36" s="22" t="n">
        <v>685</v>
      </c>
      <c r="J36" s="19" t="n">
        <v>5</v>
      </c>
      <c r="K36" s="23" t="inlineStr">
        <is>
          <t>Nu</t>
        </is>
      </c>
      <c r="L36" s="23" t="inlineStr">
        <is>
          <t>Ocupată</t>
        </is>
      </c>
      <c r="M36" s="24" t="n">
        <v>43669</v>
      </c>
      <c r="N36" s="25" t="n">
        <v>43673</v>
      </c>
      <c r="O36" s="4" t="n"/>
      <c r="P36" s="5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</row>
    <row r="37" ht="17" customHeight="1" s="3" thickBot="1">
      <c r="A37" s="4" t="n"/>
      <c r="B37" s="5" t="n"/>
      <c r="C37" s="4" t="n"/>
      <c r="D37" s="229" t="n"/>
      <c r="E37" s="42" t="n">
        <v>508</v>
      </c>
      <c r="F37" s="43" t="n">
        <v>41</v>
      </c>
      <c r="G37" s="44" t="inlineStr">
        <is>
          <t>King</t>
        </is>
      </c>
      <c r="H37" s="45" t="inlineStr">
        <is>
          <t>Da</t>
        </is>
      </c>
      <c r="I37" s="46" t="n">
        <v>700</v>
      </c>
      <c r="J37" s="43" t="n">
        <v>5</v>
      </c>
      <c r="K37" s="47" t="inlineStr">
        <is>
          <t>Nu</t>
        </is>
      </c>
      <c r="L37" s="47" t="inlineStr">
        <is>
          <t>Ocupată</t>
        </is>
      </c>
      <c r="M37" s="48" t="n">
        <v>43669</v>
      </c>
      <c r="N37" s="49" t="n">
        <v>43671</v>
      </c>
      <c r="O37" s="4" t="n"/>
      <c r="P37" s="5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4" t="n"/>
      <c r="B38" s="5" t="n"/>
      <c r="C38" s="4" t="n"/>
      <c r="D38" s="221" t="inlineStr">
        <is>
          <t>Suită Sperioară</t>
        </is>
      </c>
      <c r="E38" s="10" t="n">
        <v>210</v>
      </c>
      <c r="F38" s="11" t="n">
        <v>45</v>
      </c>
      <c r="G38" s="12" t="inlineStr">
        <is>
          <t>King</t>
        </is>
      </c>
      <c r="H38" s="13" t="inlineStr">
        <is>
          <t>Nu</t>
        </is>
      </c>
      <c r="I38" s="14" t="n">
        <v>845</v>
      </c>
      <c r="J38" s="11" t="n">
        <v>2</v>
      </c>
      <c r="K38" s="15" t="inlineStr">
        <is>
          <t>Nu</t>
        </is>
      </c>
      <c r="L38" s="15" t="inlineStr">
        <is>
          <t>Liberă</t>
        </is>
      </c>
      <c r="M38" s="16" t="n"/>
      <c r="N38" s="17" t="n"/>
      <c r="O38" s="4" t="n"/>
      <c r="P38" s="5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</row>
    <row r="39">
      <c r="A39" s="4" t="n"/>
      <c r="B39" s="5" t="n"/>
      <c r="C39" s="4" t="n"/>
      <c r="D39" s="228" t="n"/>
      <c r="E39" s="18" t="n">
        <v>310</v>
      </c>
      <c r="F39" s="19" t="n">
        <v>45</v>
      </c>
      <c r="G39" s="20" t="inlineStr">
        <is>
          <t>King</t>
        </is>
      </c>
      <c r="H39" s="21" t="inlineStr">
        <is>
          <t>Nu</t>
        </is>
      </c>
      <c r="I39" s="22" t="n">
        <v>845</v>
      </c>
      <c r="J39" s="19" t="n">
        <v>3</v>
      </c>
      <c r="K39" s="23" t="inlineStr">
        <is>
          <t>Nu</t>
        </is>
      </c>
      <c r="L39" s="23" t="inlineStr">
        <is>
          <t>Ocupată</t>
        </is>
      </c>
      <c r="M39" s="24" t="n">
        <v>43667</v>
      </c>
      <c r="N39" s="25" t="n">
        <v>43674</v>
      </c>
      <c r="O39" s="4" t="n"/>
      <c r="P39" s="5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4" t="n"/>
      <c r="B40" s="5" t="n"/>
      <c r="C40" s="4" t="n"/>
      <c r="D40" s="228" t="n"/>
      <c r="E40" s="18" t="n">
        <v>410</v>
      </c>
      <c r="F40" s="19" t="n">
        <v>75</v>
      </c>
      <c r="G40" s="20" t="inlineStr">
        <is>
          <t>King</t>
        </is>
      </c>
      <c r="H40" s="21" t="inlineStr">
        <is>
          <t>Da</t>
        </is>
      </c>
      <c r="I40" s="22" t="n">
        <v>945</v>
      </c>
      <c r="J40" s="19" t="n">
        <v>4</v>
      </c>
      <c r="K40" s="23" t="inlineStr">
        <is>
          <t>Nu</t>
        </is>
      </c>
      <c r="L40" s="23" t="inlineStr">
        <is>
          <t>Ocupată</t>
        </is>
      </c>
      <c r="M40" s="24" t="n">
        <v>43671</v>
      </c>
      <c r="N40" s="25" t="n">
        <v>43675</v>
      </c>
      <c r="O40" s="4" t="n"/>
      <c r="P40" s="5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</row>
    <row r="41">
      <c r="A41" s="4" t="n"/>
      <c r="B41" s="5" t="n"/>
      <c r="C41" s="4" t="n"/>
      <c r="D41" s="228" t="n"/>
      <c r="E41" s="18" t="n">
        <v>510</v>
      </c>
      <c r="F41" s="19" t="n">
        <v>75</v>
      </c>
      <c r="G41" s="20" t="inlineStr">
        <is>
          <t>King</t>
        </is>
      </c>
      <c r="H41" s="21" t="inlineStr">
        <is>
          <t>Da</t>
        </is>
      </c>
      <c r="I41" s="22" t="n">
        <v>945</v>
      </c>
      <c r="J41" s="19" t="n">
        <v>5</v>
      </c>
      <c r="K41" s="23" t="inlineStr">
        <is>
          <t>Nu</t>
        </is>
      </c>
      <c r="L41" s="23" t="inlineStr">
        <is>
          <t>Ocupată</t>
        </is>
      </c>
      <c r="M41" s="24" t="n">
        <v>43670</v>
      </c>
      <c r="N41" s="25" t="n">
        <v>43671</v>
      </c>
      <c r="O41" s="4" t="n"/>
      <c r="P41" s="5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 ht="17" customHeight="1" s="3" thickBot="1">
      <c r="A42" s="4" t="n"/>
      <c r="B42" s="5" t="n"/>
      <c r="C42" s="4" t="n"/>
      <c r="D42" s="229" t="n"/>
      <c r="E42" s="26" t="n">
        <v>511</v>
      </c>
      <c r="F42" s="27" t="n">
        <v>75</v>
      </c>
      <c r="G42" s="28" t="inlineStr">
        <is>
          <t>King</t>
        </is>
      </c>
      <c r="H42" s="29" t="inlineStr">
        <is>
          <t>Da</t>
        </is>
      </c>
      <c r="I42" s="30" t="n">
        <v>945</v>
      </c>
      <c r="J42" s="27" t="n">
        <v>5</v>
      </c>
      <c r="K42" s="31" t="inlineStr">
        <is>
          <t>Nu</t>
        </is>
      </c>
      <c r="L42" s="31" t="inlineStr">
        <is>
          <t>Liberă</t>
        </is>
      </c>
      <c r="M42" s="32" t="n"/>
      <c r="N42" s="33" t="n"/>
      <c r="O42" s="4" t="n"/>
      <c r="P42" s="5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</row>
    <row r="43">
      <c r="A43" s="4" t="n"/>
      <c r="B43" s="5" t="n"/>
      <c r="C43" s="4" t="n"/>
      <c r="D43" s="221" t="inlineStr">
        <is>
          <t>Suită Delux</t>
        </is>
      </c>
      <c r="E43" s="10" t="n">
        <v>411</v>
      </c>
      <c r="F43" s="11" t="n">
        <v>82</v>
      </c>
      <c r="G43" s="12" t="inlineStr">
        <is>
          <t>King</t>
        </is>
      </c>
      <c r="H43" s="13" t="inlineStr">
        <is>
          <t>Da</t>
        </is>
      </c>
      <c r="I43" s="14" t="n">
        <v>1100</v>
      </c>
      <c r="J43" s="11" t="n">
        <v>4</v>
      </c>
      <c r="K43" s="15" t="inlineStr">
        <is>
          <t>Nu</t>
        </is>
      </c>
      <c r="L43" s="15" t="inlineStr">
        <is>
          <t>Ocupată</t>
        </is>
      </c>
      <c r="M43" s="16" t="n">
        <v>43668</v>
      </c>
      <c r="N43" s="17" t="n">
        <v>43673</v>
      </c>
      <c r="O43" s="4" t="n"/>
      <c r="P43" s="5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4" t="n"/>
      <c r="B44" s="5" t="n"/>
      <c r="C44" s="4" t="n"/>
      <c r="D44" s="228" t="n"/>
      <c r="E44" s="18" t="n">
        <v>412</v>
      </c>
      <c r="F44" s="19" t="n">
        <v>82</v>
      </c>
      <c r="G44" s="20" t="inlineStr">
        <is>
          <t>King</t>
        </is>
      </c>
      <c r="H44" s="21" t="inlineStr">
        <is>
          <t>Da</t>
        </is>
      </c>
      <c r="I44" s="22" t="n">
        <v>1100</v>
      </c>
      <c r="J44" s="19" t="n">
        <v>4</v>
      </c>
      <c r="K44" s="23" t="inlineStr">
        <is>
          <t>Nu</t>
        </is>
      </c>
      <c r="L44" s="23" t="inlineStr">
        <is>
          <t>Ocupată</t>
        </is>
      </c>
      <c r="M44" s="24" t="n">
        <v>43668</v>
      </c>
      <c r="N44" s="25" t="n">
        <v>43671</v>
      </c>
      <c r="O44" s="4" t="n"/>
      <c r="P44" s="5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</row>
    <row r="45">
      <c r="A45" s="4" t="n"/>
      <c r="B45" s="5" t="n"/>
      <c r="C45" s="4" t="n"/>
      <c r="D45" s="228" t="n"/>
      <c r="E45" s="18" t="n">
        <v>512</v>
      </c>
      <c r="F45" s="19" t="n">
        <v>82</v>
      </c>
      <c r="G45" s="20" t="inlineStr">
        <is>
          <t>King</t>
        </is>
      </c>
      <c r="H45" s="21" t="inlineStr">
        <is>
          <t>Da</t>
        </is>
      </c>
      <c r="I45" s="22" t="n">
        <v>1100</v>
      </c>
      <c r="J45" s="19" t="n">
        <v>5</v>
      </c>
      <c r="K45" s="23" t="inlineStr">
        <is>
          <t>Nu</t>
        </is>
      </c>
      <c r="L45" s="23" t="inlineStr">
        <is>
          <t>Liberă</t>
        </is>
      </c>
      <c r="M45" s="24" t="n"/>
      <c r="N45" s="25" t="n"/>
      <c r="O45" s="4" t="n"/>
      <c r="P45" s="5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4" t="n"/>
      <c r="B46" s="5" t="n"/>
      <c r="C46" s="4" t="n"/>
      <c r="D46" s="228" t="n"/>
      <c r="E46" s="18" t="n">
        <v>513</v>
      </c>
      <c r="F46" s="19" t="n">
        <v>82</v>
      </c>
      <c r="G46" s="20" t="inlineStr">
        <is>
          <t>King</t>
        </is>
      </c>
      <c r="H46" s="21" t="inlineStr">
        <is>
          <t>Da</t>
        </is>
      </c>
      <c r="I46" s="22" t="n">
        <v>1100</v>
      </c>
      <c r="J46" s="19" t="n">
        <v>5</v>
      </c>
      <c r="K46" s="23" t="inlineStr">
        <is>
          <t>Nu</t>
        </is>
      </c>
      <c r="L46" s="23" t="inlineStr">
        <is>
          <t>Ocupată</t>
        </is>
      </c>
      <c r="M46" s="24" t="n">
        <v>43669</v>
      </c>
      <c r="N46" s="25" t="n">
        <v>43672</v>
      </c>
      <c r="O46" s="4" t="n"/>
      <c r="P46" s="5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</row>
    <row r="47" ht="17" customHeight="1" s="3" thickBot="1">
      <c r="A47" s="4" t="n"/>
      <c r="B47" s="5" t="n"/>
      <c r="C47" s="4" t="n"/>
      <c r="D47" s="229" t="n"/>
      <c r="E47" s="26" t="n">
        <v>104</v>
      </c>
      <c r="F47" s="27" t="n">
        <v>82</v>
      </c>
      <c r="G47" s="28" t="inlineStr">
        <is>
          <t>King</t>
        </is>
      </c>
      <c r="H47" s="29" t="inlineStr">
        <is>
          <t>Da</t>
        </is>
      </c>
      <c r="I47" s="30" t="n">
        <v>1100</v>
      </c>
      <c r="J47" s="27" t="n">
        <v>1</v>
      </c>
      <c r="K47" s="31" t="inlineStr">
        <is>
          <t>Da</t>
        </is>
      </c>
      <c r="L47" s="31" t="inlineStr">
        <is>
          <t>Ocupată</t>
        </is>
      </c>
      <c r="M47" s="32" t="n">
        <v>43670</v>
      </c>
      <c r="N47" s="33" t="n">
        <v>43673</v>
      </c>
      <c r="O47" s="4" t="n"/>
      <c r="P47" s="5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4" t="n"/>
      <c r="B48" s="5" t="n"/>
      <c r="C48" s="4" t="n"/>
      <c r="D48" s="221" t="inlineStr">
        <is>
          <t>Suită Palais</t>
        </is>
      </c>
      <c r="E48" s="10" t="n">
        <v>101</v>
      </c>
      <c r="F48" s="11" t="n">
        <v>100</v>
      </c>
      <c r="G48" s="12" t="inlineStr">
        <is>
          <t>King</t>
        </is>
      </c>
      <c r="H48" s="13" t="inlineStr">
        <is>
          <t>Da</t>
        </is>
      </c>
      <c r="I48" s="14" t="n">
        <v>1645</v>
      </c>
      <c r="J48" s="11" t="n">
        <v>1</v>
      </c>
      <c r="K48" s="15" t="inlineStr">
        <is>
          <t>Da</t>
        </is>
      </c>
      <c r="L48" s="15" t="inlineStr">
        <is>
          <t>Ocupată</t>
        </is>
      </c>
      <c r="M48" s="16" t="n">
        <v>43667</v>
      </c>
      <c r="N48" s="17" t="n">
        <v>43674</v>
      </c>
      <c r="O48" s="4" t="n"/>
      <c r="P48" s="5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</row>
    <row r="49">
      <c r="A49" s="4" t="n"/>
      <c r="B49" s="5" t="n"/>
      <c r="C49" s="4" t="n"/>
      <c r="D49" s="228" t="n"/>
      <c r="E49" s="18" t="n">
        <v>102</v>
      </c>
      <c r="F49" s="19" t="n">
        <v>100</v>
      </c>
      <c r="G49" s="20" t="inlineStr">
        <is>
          <t>King</t>
        </is>
      </c>
      <c r="H49" s="21" t="inlineStr">
        <is>
          <t>Da</t>
        </is>
      </c>
      <c r="I49" s="22" t="n">
        <v>1645</v>
      </c>
      <c r="J49" s="19" t="n">
        <v>1</v>
      </c>
      <c r="K49" s="23" t="inlineStr">
        <is>
          <t>Da</t>
        </is>
      </c>
      <c r="L49" s="23" t="inlineStr">
        <is>
          <t>Ocupată</t>
        </is>
      </c>
      <c r="M49" s="24" t="n">
        <v>43668</v>
      </c>
      <c r="N49" s="25" t="n">
        <v>43672</v>
      </c>
      <c r="O49" s="4" t="n"/>
      <c r="P49" s="5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4" t="n"/>
      <c r="B50" s="5" t="n"/>
      <c r="C50" s="4" t="n"/>
      <c r="D50" s="228" t="n"/>
      <c r="E50" s="18" t="n">
        <v>601</v>
      </c>
      <c r="F50" s="19" t="n">
        <v>100</v>
      </c>
      <c r="G50" s="20" t="inlineStr">
        <is>
          <t>King</t>
        </is>
      </c>
      <c r="H50" s="21" t="inlineStr">
        <is>
          <t>Da</t>
        </is>
      </c>
      <c r="I50" s="22" t="n">
        <v>1645</v>
      </c>
      <c r="J50" s="19" t="n">
        <v>6</v>
      </c>
      <c r="K50" s="23" t="inlineStr">
        <is>
          <t>Nu</t>
        </is>
      </c>
      <c r="L50" s="23" t="inlineStr">
        <is>
          <t>Liberă</t>
        </is>
      </c>
      <c r="M50" s="24" t="n"/>
      <c r="N50" s="25" t="n"/>
      <c r="O50" s="4" t="n"/>
      <c r="P50" s="5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</row>
    <row r="51">
      <c r="A51" s="4" t="n"/>
      <c r="B51" s="5" t="n"/>
      <c r="C51" s="4" t="n"/>
      <c r="D51" s="228" t="n"/>
      <c r="E51" s="18" t="n">
        <v>602</v>
      </c>
      <c r="F51" s="19" t="n">
        <v>100</v>
      </c>
      <c r="G51" s="20" t="inlineStr">
        <is>
          <t>King</t>
        </is>
      </c>
      <c r="H51" s="21" t="inlineStr">
        <is>
          <t>Da</t>
        </is>
      </c>
      <c r="I51" s="22" t="n">
        <v>1645</v>
      </c>
      <c r="J51" s="19" t="n">
        <v>6</v>
      </c>
      <c r="K51" s="23" t="inlineStr">
        <is>
          <t>Nu</t>
        </is>
      </c>
      <c r="L51" s="23" t="inlineStr">
        <is>
          <t>Ocupată</t>
        </is>
      </c>
      <c r="M51" s="24" t="n">
        <v>43671</v>
      </c>
      <c r="N51" s="25" t="n">
        <v>43674</v>
      </c>
      <c r="O51" s="4" t="n"/>
      <c r="P51" s="5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 ht="17" customHeight="1" s="3" thickBot="1">
      <c r="A52" s="4" t="n"/>
      <c r="B52" s="5" t="n"/>
      <c r="C52" s="4" t="n"/>
      <c r="D52" s="229" t="n"/>
      <c r="E52" s="26" t="n">
        <v>603</v>
      </c>
      <c r="F52" s="27" t="n">
        <v>100</v>
      </c>
      <c r="G52" s="28" t="inlineStr">
        <is>
          <t>King</t>
        </is>
      </c>
      <c r="H52" s="29" t="inlineStr">
        <is>
          <t>Da</t>
        </is>
      </c>
      <c r="I52" s="30" t="n">
        <v>1645</v>
      </c>
      <c r="J52" s="27" t="n">
        <v>6</v>
      </c>
      <c r="K52" s="31" t="inlineStr">
        <is>
          <t>Nu</t>
        </is>
      </c>
      <c r="L52" s="31" t="inlineStr">
        <is>
          <t>Ocupată</t>
        </is>
      </c>
      <c r="M52" s="32" t="n">
        <v>43669</v>
      </c>
      <c r="N52" s="33" t="n">
        <v>43675</v>
      </c>
      <c r="O52" s="4" t="n"/>
      <c r="P52" s="5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</row>
    <row r="53">
      <c r="A53" s="4" t="n"/>
      <c r="B53" s="5" t="n"/>
      <c r="C53" s="4" t="n"/>
      <c r="D53" s="214" t="inlineStr">
        <is>
          <t>Villa</t>
        </is>
      </c>
      <c r="E53" s="34" t="n">
        <v>1</v>
      </c>
      <c r="F53" s="35" t="n">
        <v>550</v>
      </c>
      <c r="G53" s="36" t="inlineStr">
        <is>
          <t>King</t>
        </is>
      </c>
      <c r="H53" s="37" t="inlineStr">
        <is>
          <t>Da</t>
        </is>
      </c>
      <c r="I53" s="38" t="n">
        <v>6545</v>
      </c>
      <c r="J53" s="50" t="n"/>
      <c r="K53" s="39" t="inlineStr">
        <is>
          <t>Acces la piscina proprie</t>
        </is>
      </c>
      <c r="L53" s="39" t="inlineStr">
        <is>
          <t>Ocupată</t>
        </is>
      </c>
      <c r="M53" s="40" t="n">
        <v>43667</v>
      </c>
      <c r="N53" s="41" t="n">
        <v>43673</v>
      </c>
      <c r="O53" s="4" t="n"/>
      <c r="P53" s="5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 ht="17" customHeight="1" s="3" thickBot="1">
      <c r="A54" s="4" t="n"/>
      <c r="B54" s="5" t="n"/>
      <c r="C54" s="4" t="n"/>
      <c r="D54" s="229" t="n"/>
      <c r="E54" s="51" t="n">
        <v>2</v>
      </c>
      <c r="F54" s="52" t="n">
        <v>550</v>
      </c>
      <c r="G54" s="53" t="inlineStr">
        <is>
          <t>King</t>
        </is>
      </c>
      <c r="H54" s="54" t="inlineStr">
        <is>
          <t>Da</t>
        </is>
      </c>
      <c r="I54" s="55" t="n">
        <v>6545</v>
      </c>
      <c r="J54" s="56" t="n"/>
      <c r="K54" s="57" t="inlineStr">
        <is>
          <t>Acces la piscina proprie</t>
        </is>
      </c>
      <c r="L54" s="57" t="inlineStr">
        <is>
          <t>Liberă</t>
        </is>
      </c>
      <c r="M54" s="58" t="n"/>
      <c r="N54" s="59" t="n"/>
      <c r="O54" s="4" t="n"/>
      <c r="P54" s="5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</row>
    <row r="55" ht="17" customHeight="1" s="3" thickTop="1">
      <c r="A55" s="4" t="n"/>
      <c r="B55" s="5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5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4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6" t="n"/>
      <c r="L56" s="5" t="n"/>
      <c r="M56" s="5" t="n"/>
      <c r="N56" s="5" t="n"/>
      <c r="O56" s="5" t="n"/>
      <c r="P56" s="5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3K7Shzuxwisx45GtVUt0Q==" formatRows="1" sort="1" spinCount="100000" hashValue="iwTS8o0jvf5a3lKlNSQ6wUYHWgh+JacpzgIz7S7JGhyFXvYgbjf6GeMrlg7O/UFRMIQX8GhTB8B48MwPoOHUaQ=="/>
  <mergeCells count="7">
    <mergeCell ref="D27:D37"/>
    <mergeCell ref="D53:D54"/>
    <mergeCell ref="D43:D47"/>
    <mergeCell ref="D48:D52"/>
    <mergeCell ref="D38:D42"/>
    <mergeCell ref="D16:D26"/>
    <mergeCell ref="D5:D15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561"/>
  <sheetViews>
    <sheetView zoomScaleNormal="100" workbookViewId="0">
      <selection activeCell="AE32" sqref="AE32"/>
    </sheetView>
  </sheetViews>
  <sheetFormatPr baseColWidth="10" defaultRowHeight="16"/>
  <cols>
    <col width="3" customWidth="1" style="3" min="1" max="1"/>
    <col width="3.1640625" customWidth="1" style="3" min="2" max="2"/>
    <col width="3.5" customWidth="1" style="3" min="3" max="3"/>
    <col width="14.33203125" customWidth="1" style="3" min="4" max="4"/>
    <col width="16.5" customWidth="1" style="3" min="5" max="5"/>
    <col width="14.6640625" customWidth="1" style="3" min="6" max="6"/>
    <col width="17.5" customWidth="1" style="3" min="7" max="7"/>
    <col width="23.33203125" customWidth="1" style="3" min="8" max="8"/>
    <col width="25.5" customWidth="1" style="3" min="9" max="9"/>
    <col width="18" customWidth="1" style="3" min="10" max="10"/>
    <col width="20.33203125" customWidth="1" style="3" min="11" max="11"/>
    <col width="11.83203125" customWidth="1" style="3" min="12" max="12"/>
    <col width="15.33203125" customWidth="1" style="3" min="13" max="13"/>
    <col width="19.83203125" customWidth="1" style="3" min="14" max="14"/>
    <col width="18.5" customWidth="1" style="3" min="15" max="15"/>
    <col width="3.5" customWidth="1" style="3" min="16" max="16"/>
    <col width="3.6640625" customWidth="1" style="3" min="17" max="17"/>
  </cols>
  <sheetData>
    <row r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</row>
    <row r="2">
      <c r="A2" s="4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</row>
    <row r="3" ht="17" customHeight="1" s="3" thickBot="1">
      <c r="A3" s="4" t="n"/>
      <c r="B3" s="5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5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</row>
    <row r="4" ht="18" customHeight="1" s="3" thickBot="1" thickTop="1">
      <c r="A4" s="4" t="n"/>
      <c r="B4" s="5" t="n"/>
      <c r="C4" s="4" t="n"/>
      <c r="D4" s="96" t="inlineStr">
        <is>
          <t>MARCA</t>
        </is>
      </c>
      <c r="E4" s="97" t="inlineStr">
        <is>
          <t>MODEL</t>
        </is>
      </c>
      <c r="F4" s="97" t="inlineStr">
        <is>
          <t xml:space="preserve">TIP </t>
        </is>
      </c>
      <c r="G4" s="97" t="inlineStr">
        <is>
          <t>UTILIZARE</t>
        </is>
      </c>
      <c r="H4" s="97" t="inlineStr">
        <is>
          <t>SERIE DE ȘASIU</t>
        </is>
      </c>
      <c r="I4" s="97" t="inlineStr">
        <is>
          <t>NUMĂR DE ÎNMATRICULARE</t>
        </is>
      </c>
      <c r="J4" s="98" t="inlineStr">
        <is>
          <t>ULTIMA REVIZIE</t>
        </is>
      </c>
      <c r="K4" s="98" t="inlineStr">
        <is>
          <t>URMĂTOAREA REVIZIE</t>
        </is>
      </c>
      <c r="L4" s="98" t="inlineStr">
        <is>
          <t>KILOMETRAJ</t>
        </is>
      </c>
      <c r="M4" s="98" t="inlineStr">
        <is>
          <t>DATA ACHIZIȚIEI</t>
        </is>
      </c>
      <c r="N4" s="98" t="inlineStr">
        <is>
          <t>NR. LOCURI PASAGERI</t>
        </is>
      </c>
      <c r="O4" s="99" t="inlineStr">
        <is>
          <t>NUME ȘOFER</t>
        </is>
      </c>
      <c r="P4" s="4" t="n"/>
      <c r="Q4" s="5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</row>
    <row r="5">
      <c r="A5" s="4" t="n"/>
      <c r="B5" s="5" t="n"/>
      <c r="C5" s="4" t="n"/>
      <c r="D5" s="66" t="inlineStr">
        <is>
          <t>Mercedes-Benz</t>
        </is>
      </c>
      <c r="E5" s="67" t="inlineStr">
        <is>
          <t>V 300 d</t>
        </is>
      </c>
      <c r="F5" s="67" t="inlineStr">
        <is>
          <t>Monovolum</t>
        </is>
      </c>
      <c r="G5" s="67" t="inlineStr">
        <is>
          <t>Transport persoane</t>
        </is>
      </c>
      <c r="H5" s="67" t="inlineStr">
        <is>
          <t>WDAT35RUH56H56545</t>
        </is>
      </c>
      <c r="I5" s="67" t="inlineStr">
        <is>
          <t>D847</t>
        </is>
      </c>
      <c r="J5" s="68" t="n">
        <v>43508</v>
      </c>
      <c r="K5" s="68" t="n">
        <v>43894</v>
      </c>
      <c r="L5" s="69" t="n">
        <v>46987</v>
      </c>
      <c r="M5" s="68" t="n">
        <v>43352</v>
      </c>
      <c r="N5" s="70" t="n">
        <v>6</v>
      </c>
      <c r="O5" s="71" t="inlineStr">
        <is>
          <t>Ion Popescu</t>
        </is>
      </c>
      <c r="P5" s="4" t="n"/>
      <c r="Q5" s="5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</row>
    <row r="6">
      <c r="A6" s="4" t="n"/>
      <c r="B6" s="5" t="n"/>
      <c r="C6" s="4" t="n"/>
      <c r="D6" s="72" t="inlineStr">
        <is>
          <t>Mercedes-Benz</t>
        </is>
      </c>
      <c r="E6" s="73" t="inlineStr">
        <is>
          <t>V 300 d</t>
        </is>
      </c>
      <c r="F6" s="73" t="inlineStr">
        <is>
          <t>Monovolum</t>
        </is>
      </c>
      <c r="G6" s="73" t="inlineStr">
        <is>
          <t>Transport persoane</t>
        </is>
      </c>
      <c r="H6" s="73" t="inlineStr">
        <is>
          <t>WBDG5645678HJ6754</t>
        </is>
      </c>
      <c r="I6" s="73" t="inlineStr">
        <is>
          <t>O908</t>
        </is>
      </c>
      <c r="J6" s="74" t="n">
        <v>43509</v>
      </c>
      <c r="K6" s="74" t="n">
        <v>43867</v>
      </c>
      <c r="L6" s="75" t="n">
        <v>34099</v>
      </c>
      <c r="M6" s="74" t="n">
        <v>43352</v>
      </c>
      <c r="N6" s="76" t="n">
        <v>6</v>
      </c>
      <c r="O6" s="77" t="inlineStr">
        <is>
          <t>Radu Popa</t>
        </is>
      </c>
      <c r="P6" s="4" t="n"/>
      <c r="Q6" s="5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</row>
    <row r="7">
      <c r="A7" s="4" t="n"/>
      <c r="B7" s="5" t="n"/>
      <c r="C7" s="4" t="n"/>
      <c r="D7" s="72" t="inlineStr">
        <is>
          <t>Mercedes-Benz</t>
        </is>
      </c>
      <c r="E7" s="73" t="inlineStr">
        <is>
          <t xml:space="preserve">V 250 </t>
        </is>
      </c>
      <c r="F7" s="73" t="inlineStr">
        <is>
          <t>Monovolum</t>
        </is>
      </c>
      <c r="G7" s="73" t="inlineStr">
        <is>
          <t>Transport persoane</t>
        </is>
      </c>
      <c r="H7" s="73" t="inlineStr">
        <is>
          <t>WEDG5463219OI9870</t>
        </is>
      </c>
      <c r="I7" s="73" t="inlineStr">
        <is>
          <t>P008</t>
        </is>
      </c>
      <c r="J7" s="74" t="n">
        <v>43510</v>
      </c>
      <c r="K7" s="74" t="n">
        <v>43867</v>
      </c>
      <c r="L7" s="75" t="n">
        <v>54898</v>
      </c>
      <c r="M7" s="74" t="n">
        <v>43352</v>
      </c>
      <c r="N7" s="76" t="n">
        <v>8</v>
      </c>
      <c r="O7" s="77" t="inlineStr">
        <is>
          <t>Gheorghe Ionescu</t>
        </is>
      </c>
      <c r="P7" s="4" t="n"/>
      <c r="Q7" s="5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</row>
    <row r="8">
      <c r="A8" s="4" t="n"/>
      <c r="B8" s="5" t="n"/>
      <c r="C8" s="4" t="n"/>
      <c r="D8" s="72" t="inlineStr">
        <is>
          <t>Mercedes-Benz</t>
        </is>
      </c>
      <c r="E8" s="73" t="inlineStr">
        <is>
          <t>S 400 d</t>
        </is>
      </c>
      <c r="F8" s="73" t="inlineStr">
        <is>
          <t>Limuzină</t>
        </is>
      </c>
      <c r="G8" s="73" t="inlineStr">
        <is>
          <t>Transport persoane</t>
        </is>
      </c>
      <c r="H8" s="73" t="inlineStr">
        <is>
          <t>WRD5454GTR5544667</t>
        </is>
      </c>
      <c r="I8" s="73" t="inlineStr">
        <is>
          <t>Q234</t>
        </is>
      </c>
      <c r="J8" s="74" t="n">
        <v>43502</v>
      </c>
      <c r="K8" s="74" t="n">
        <v>43874</v>
      </c>
      <c r="L8" s="75" t="n">
        <v>21453</v>
      </c>
      <c r="M8" s="74" t="n">
        <v>43525</v>
      </c>
      <c r="N8" s="76" t="n">
        <v>3</v>
      </c>
      <c r="O8" s="77" t="inlineStr">
        <is>
          <t>Andrei Barbu</t>
        </is>
      </c>
      <c r="P8" s="4" t="n"/>
      <c r="Q8" s="5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</row>
    <row r="9">
      <c r="A9" s="4" t="n"/>
      <c r="B9" s="5" t="n"/>
      <c r="C9" s="4" t="n"/>
      <c r="D9" s="72" t="inlineStr">
        <is>
          <t>Mercedes-Benz</t>
        </is>
      </c>
      <c r="E9" s="73" t="inlineStr">
        <is>
          <t>S 350 d</t>
        </is>
      </c>
      <c r="F9" s="73" t="inlineStr">
        <is>
          <t>Limuzină</t>
        </is>
      </c>
      <c r="G9" s="73" t="inlineStr">
        <is>
          <t>Transport persoane</t>
        </is>
      </c>
      <c r="H9" s="73" t="inlineStr">
        <is>
          <t>WRTR45432HJ009989</t>
        </is>
      </c>
      <c r="I9" s="73" t="inlineStr">
        <is>
          <t>G789</t>
        </is>
      </c>
      <c r="J9" s="74" t="n">
        <v>43443</v>
      </c>
      <c r="K9" s="74" t="n">
        <v>44169</v>
      </c>
      <c r="L9" s="75" t="n">
        <v>76987</v>
      </c>
      <c r="M9" s="74" t="n">
        <v>42605</v>
      </c>
      <c r="N9" s="76" t="n">
        <v>3</v>
      </c>
      <c r="O9" s="77" t="inlineStr">
        <is>
          <t>Robert Rotar</t>
        </is>
      </c>
      <c r="P9" s="4" t="n"/>
      <c r="Q9" s="5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</row>
    <row r="10">
      <c r="A10" s="4" t="n"/>
      <c r="B10" s="5" t="n"/>
      <c r="C10" s="4" t="n"/>
      <c r="D10" s="72" t="inlineStr">
        <is>
          <t>Mercedes-Benz</t>
        </is>
      </c>
      <c r="E10" s="73" t="inlineStr">
        <is>
          <t xml:space="preserve">S 450 </t>
        </is>
      </c>
      <c r="F10" s="73" t="inlineStr">
        <is>
          <t>Limuzină</t>
        </is>
      </c>
      <c r="G10" s="73" t="inlineStr">
        <is>
          <t>Transport persoane</t>
        </is>
      </c>
      <c r="H10" s="73" t="inlineStr">
        <is>
          <t>WFGD64836HF736457</t>
        </is>
      </c>
      <c r="I10" s="73" t="inlineStr">
        <is>
          <t>P986</t>
        </is>
      </c>
      <c r="J10" s="74" t="n">
        <v>43503</v>
      </c>
      <c r="K10" s="74" t="n">
        <v>43869</v>
      </c>
      <c r="L10" s="75" t="n">
        <v>20942</v>
      </c>
      <c r="M10" s="74" t="n">
        <v>43525</v>
      </c>
      <c r="N10" s="76" t="n">
        <v>3</v>
      </c>
      <c r="O10" s="77" t="inlineStr">
        <is>
          <t>Bogdan Stanescu</t>
        </is>
      </c>
      <c r="P10" s="4" t="n"/>
      <c r="Q10" s="5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</row>
    <row r="11">
      <c r="A11" s="4" t="n"/>
      <c r="B11" s="5" t="n"/>
      <c r="C11" s="4" t="n"/>
      <c r="D11" s="72" t="inlineStr">
        <is>
          <t>Mercedes-Benz</t>
        </is>
      </c>
      <c r="E11" s="73" t="inlineStr">
        <is>
          <t>S 650</t>
        </is>
      </c>
      <c r="F11" s="73" t="inlineStr">
        <is>
          <t>Limuzină</t>
        </is>
      </c>
      <c r="G11" s="73" t="inlineStr">
        <is>
          <t>Transport persoane</t>
        </is>
      </c>
      <c r="H11" s="73" t="inlineStr">
        <is>
          <t>WGDHG564532KK9028</t>
        </is>
      </c>
      <c r="I11" s="73" t="inlineStr">
        <is>
          <t>L097</t>
        </is>
      </c>
      <c r="J11" s="74" t="n">
        <v>43649</v>
      </c>
      <c r="K11" s="74" t="n">
        <v>44021</v>
      </c>
      <c r="L11" s="75" t="n">
        <v>12554</v>
      </c>
      <c r="M11" s="74" t="n">
        <v>43653</v>
      </c>
      <c r="N11" s="76" t="n">
        <v>3</v>
      </c>
      <c r="O11" s="77" t="inlineStr">
        <is>
          <t>Alexandru Georgescu</t>
        </is>
      </c>
      <c r="P11" s="4" t="n"/>
      <c r="Q11" s="5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</row>
    <row r="12">
      <c r="A12" s="4" t="n"/>
      <c r="B12" s="5" t="n"/>
      <c r="C12" s="4" t="n"/>
      <c r="D12" s="72" t="inlineStr">
        <is>
          <t>Mercedes-Benz</t>
        </is>
      </c>
      <c r="E12" s="73" t="inlineStr">
        <is>
          <t>GLS 400 d</t>
        </is>
      </c>
      <c r="F12" s="73" t="inlineStr">
        <is>
          <t>SUV</t>
        </is>
      </c>
      <c r="G12" s="73" t="inlineStr">
        <is>
          <t>Transport persoane</t>
        </is>
      </c>
      <c r="H12" s="73" t="inlineStr">
        <is>
          <t>WED453HU786453896</t>
        </is>
      </c>
      <c r="I12" s="73" t="inlineStr">
        <is>
          <t>T543</t>
        </is>
      </c>
      <c r="J12" s="74" t="n">
        <v>43503</v>
      </c>
      <c r="K12" s="74" t="n">
        <v>43863</v>
      </c>
      <c r="L12" s="75" t="n">
        <v>40876</v>
      </c>
      <c r="M12" s="74" t="n">
        <v>43317</v>
      </c>
      <c r="N12" s="76" t="n">
        <v>6</v>
      </c>
      <c r="O12" s="77" t="inlineStr">
        <is>
          <t>Sorin Aldea</t>
        </is>
      </c>
      <c r="P12" s="4" t="n"/>
      <c r="Q12" s="5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</row>
    <row r="13">
      <c r="A13" s="4" t="n"/>
      <c r="B13" s="5" t="n"/>
      <c r="C13" s="4" t="n"/>
      <c r="D13" s="72" t="inlineStr">
        <is>
          <t>Mercedes-Benz</t>
        </is>
      </c>
      <c r="E13" s="73" t="inlineStr">
        <is>
          <t xml:space="preserve">Citan </t>
        </is>
      </c>
      <c r="F13" s="73" t="inlineStr">
        <is>
          <t>Furgon Frigorific</t>
        </is>
      </c>
      <c r="G13" s="73" t="inlineStr">
        <is>
          <t>Aprovizionare</t>
        </is>
      </c>
      <c r="H13" s="73" t="inlineStr">
        <is>
          <t>WEGK756493UI85736</t>
        </is>
      </c>
      <c r="I13" s="73" t="inlineStr">
        <is>
          <t>C567</t>
        </is>
      </c>
      <c r="J13" s="74" t="n">
        <v>43533</v>
      </c>
      <c r="K13" s="74" t="n">
        <v>43895</v>
      </c>
      <c r="L13" s="75" t="n">
        <v>121987</v>
      </c>
      <c r="M13" s="74" t="n">
        <v>42411</v>
      </c>
      <c r="N13" s="76" t="n">
        <v>0</v>
      </c>
      <c r="O13" s="77" t="inlineStr">
        <is>
          <t>Razvan Tănase</t>
        </is>
      </c>
      <c r="P13" s="4" t="n"/>
      <c r="Q13" s="5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</row>
    <row r="14">
      <c r="A14" s="4" t="n"/>
      <c r="B14" s="5" t="n"/>
      <c r="C14" s="4" t="n"/>
      <c r="D14" s="72" t="inlineStr">
        <is>
          <t>Mercedes-Benz</t>
        </is>
      </c>
      <c r="E14" s="73" t="inlineStr">
        <is>
          <t xml:space="preserve">Citan </t>
        </is>
      </c>
      <c r="F14" s="73" t="inlineStr">
        <is>
          <t>Furgon Frigorific</t>
        </is>
      </c>
      <c r="G14" s="73" t="inlineStr">
        <is>
          <t>Aprovizionare</t>
        </is>
      </c>
      <c r="H14" s="73" t="inlineStr">
        <is>
          <t>WGHG54739485UT746</t>
        </is>
      </c>
      <c r="I14" s="73" t="inlineStr">
        <is>
          <t>L987</t>
        </is>
      </c>
      <c r="J14" s="74" t="n">
        <v>43534</v>
      </c>
      <c r="K14" s="74" t="n">
        <v>43909</v>
      </c>
      <c r="L14" s="75" t="n">
        <v>89008</v>
      </c>
      <c r="M14" s="74" t="n">
        <v>42411</v>
      </c>
      <c r="N14" s="76" t="n">
        <v>0</v>
      </c>
      <c r="O14" s="77" t="inlineStr">
        <is>
          <t>Andrei Vladescu</t>
        </is>
      </c>
      <c r="P14" s="4" t="n"/>
      <c r="Q14" s="5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</row>
    <row r="15">
      <c r="A15" s="4" t="n"/>
      <c r="B15" s="5" t="n"/>
      <c r="C15" s="4" t="n"/>
      <c r="D15" s="72" t="inlineStr">
        <is>
          <t>Mercedes-Benz</t>
        </is>
      </c>
      <c r="E15" s="73" t="inlineStr">
        <is>
          <t>Sprinter</t>
        </is>
      </c>
      <c r="F15" s="73" t="inlineStr">
        <is>
          <t>Microbuz</t>
        </is>
      </c>
      <c r="G15" s="73" t="inlineStr">
        <is>
          <t>Transport persoane</t>
        </is>
      </c>
      <c r="H15" s="73" t="inlineStr">
        <is>
          <t>WBNK8675432DD3241</t>
        </is>
      </c>
      <c r="I15" s="73" t="inlineStr">
        <is>
          <t>U765</t>
        </is>
      </c>
      <c r="J15" s="74" t="n">
        <v>43535</v>
      </c>
      <c r="K15" s="74" t="n">
        <v>43885</v>
      </c>
      <c r="L15" s="75" t="n">
        <v>83957</v>
      </c>
      <c r="M15" s="74" t="n">
        <v>42411</v>
      </c>
      <c r="N15" s="76" t="n">
        <v>0</v>
      </c>
      <c r="O15" s="77" t="inlineStr">
        <is>
          <t>David Tomescu</t>
        </is>
      </c>
      <c r="P15" s="4" t="n"/>
      <c r="Q15" s="5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</row>
    <row r="16">
      <c r="A16" s="4" t="n"/>
      <c r="B16" s="5" t="n"/>
      <c r="C16" s="4" t="n"/>
      <c r="D16" s="72" t="inlineStr">
        <is>
          <t>Garia</t>
        </is>
      </c>
      <c r="E16" s="73" t="inlineStr">
        <is>
          <t>VIA 2+2</t>
        </is>
      </c>
      <c r="F16" s="73" t="inlineStr">
        <is>
          <t>Cart Golf</t>
        </is>
      </c>
      <c r="G16" s="73" t="inlineStr">
        <is>
          <t>Transport persoane</t>
        </is>
      </c>
      <c r="H16" s="73" t="inlineStr">
        <is>
          <t>WMKO7658394HH6352</t>
        </is>
      </c>
      <c r="I16" s="73" t="inlineStr">
        <is>
          <t>F665</t>
        </is>
      </c>
      <c r="J16" s="74" t="n"/>
      <c r="K16" s="74" t="n"/>
      <c r="L16" s="75" t="n">
        <v>9769</v>
      </c>
      <c r="M16" s="74" t="n">
        <v>42796</v>
      </c>
      <c r="N16" s="76" t="n">
        <v>4</v>
      </c>
      <c r="O16" s="77" t="inlineStr">
        <is>
          <t>Teodor Mânzat</t>
        </is>
      </c>
      <c r="P16" s="4" t="n"/>
      <c r="Q16" s="5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</row>
    <row r="17">
      <c r="A17" s="4" t="n"/>
      <c r="B17" s="5" t="n"/>
      <c r="C17" s="4" t="n"/>
      <c r="D17" s="72" t="inlineStr">
        <is>
          <t>Garia</t>
        </is>
      </c>
      <c r="E17" s="73" t="inlineStr">
        <is>
          <t>VIA 2+2</t>
        </is>
      </c>
      <c r="F17" s="73" t="inlineStr">
        <is>
          <t>Cart Golf</t>
        </is>
      </c>
      <c r="G17" s="73" t="inlineStr">
        <is>
          <t>Transport persoane</t>
        </is>
      </c>
      <c r="H17" s="73" t="inlineStr">
        <is>
          <t>WXDR4267GTR63YW89</t>
        </is>
      </c>
      <c r="I17" s="73" t="inlineStr">
        <is>
          <t>U890</t>
        </is>
      </c>
      <c r="J17" s="74" t="n"/>
      <c r="K17" s="74" t="n"/>
      <c r="L17" s="75" t="n">
        <v>7654</v>
      </c>
      <c r="M17" s="74" t="n">
        <v>42796</v>
      </c>
      <c r="N17" s="76" t="n">
        <v>4</v>
      </c>
      <c r="O17" s="77" t="inlineStr">
        <is>
          <t>Paul Popescu</t>
        </is>
      </c>
      <c r="P17" s="4" t="n"/>
      <c r="Q17" s="5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</row>
    <row r="18" ht="17" customHeight="1" s="3" thickBot="1">
      <c r="A18" s="4" t="n"/>
      <c r="B18" s="5" t="n"/>
      <c r="C18" s="4" t="n"/>
      <c r="D18" s="78" t="inlineStr">
        <is>
          <t>Garia</t>
        </is>
      </c>
      <c r="E18" s="79" t="inlineStr">
        <is>
          <t>Courtesy 4+2</t>
        </is>
      </c>
      <c r="F18" s="79" t="inlineStr">
        <is>
          <t>Cart Golf</t>
        </is>
      </c>
      <c r="G18" s="79" t="inlineStr">
        <is>
          <t>Transport persoane</t>
        </is>
      </c>
      <c r="H18" s="79" t="inlineStr">
        <is>
          <t>WBHU76645TEG63526</t>
        </is>
      </c>
      <c r="I18" s="79" t="inlineStr">
        <is>
          <t>G676</t>
        </is>
      </c>
      <c r="J18" s="80" t="n"/>
      <c r="K18" s="80" t="n"/>
      <c r="L18" s="81" t="n">
        <v>12887</v>
      </c>
      <c r="M18" s="80" t="n">
        <v>42796</v>
      </c>
      <c r="N18" s="82" t="n">
        <v>6</v>
      </c>
      <c r="O18" s="83" t="inlineStr">
        <is>
          <t>Radu Constantinescu</t>
        </is>
      </c>
      <c r="P18" s="4" t="n"/>
      <c r="Q18" s="5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</row>
    <row r="19" ht="17" customHeight="1" s="3" thickTop="1">
      <c r="A19" s="4" t="n"/>
      <c r="B19" s="5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5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</row>
    <row r="20">
      <c r="A20" s="4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</row>
    <row r="22" ht="17" customHeight="1" s="3" thickBot="1">
      <c r="A22" s="4" t="n"/>
      <c r="B22" s="5" t="n"/>
      <c r="C22" s="5" t="n"/>
      <c r="D22" s="5" t="n"/>
      <c r="E22" s="5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</row>
    <row r="23" ht="18" customHeight="1" s="3" thickBot="1" thickTop="1">
      <c r="A23" s="4" t="n"/>
      <c r="B23" s="5" t="n"/>
      <c r="C23" s="90" t="n"/>
      <c r="D23" s="91" t="n"/>
      <c r="E23" s="92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</row>
    <row r="24" ht="17" customHeight="1" s="3" thickTop="1">
      <c r="A24" s="4" t="n"/>
      <c r="B24" s="5" t="n"/>
      <c r="C24" s="87" t="n"/>
      <c r="D24" s="88" t="inlineStr">
        <is>
          <t>Cei mai mulți km:</t>
        </is>
      </c>
      <c r="E24" s="89">
        <f>MAX(L5:L18)</f>
        <v/>
      </c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</row>
    <row r="25">
      <c r="A25" s="4" t="n"/>
      <c r="B25" s="5" t="n"/>
      <c r="C25" s="62" t="n"/>
      <c r="D25" s="86" t="inlineStr">
        <is>
          <t>Cei mai puțini km:</t>
        </is>
      </c>
      <c r="E25" s="84">
        <f>MIN(L:L)</f>
        <v/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</row>
    <row r="26">
      <c r="A26" s="4" t="n"/>
      <c r="B26" s="5" t="n"/>
      <c r="C26" s="62" t="n"/>
      <c r="D26" s="86" t="n"/>
      <c r="E26" s="85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</row>
    <row r="27" ht="17" customHeight="1" s="3" thickBot="1">
      <c r="A27" s="4" t="n"/>
      <c r="B27" s="5" t="n"/>
      <c r="C27" s="93" t="n"/>
      <c r="D27" s="94" t="inlineStr">
        <is>
          <t>Media de Km a Flotei</t>
        </is>
      </c>
      <c r="E27" s="95">
        <f>AVERAGE(L:L)</f>
        <v/>
      </c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</row>
    <row r="28" ht="18" customHeight="1" s="3" thickBot="1" thickTop="1">
      <c r="A28" s="4" t="n"/>
      <c r="B28" s="5" t="n"/>
      <c r="C28" s="90" t="n"/>
      <c r="D28" s="91" t="n"/>
      <c r="E28" s="92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</row>
    <row r="29" ht="17" customHeight="1" s="3" thickTop="1">
      <c r="A29" s="4" t="n"/>
      <c r="B29" s="5" t="n"/>
      <c r="C29" s="5" t="n"/>
      <c r="D29" s="5" t="n"/>
      <c r="E29" s="5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  <row r="150">
      <c r="A150" s="4" t="n"/>
    </row>
    <row r="151">
      <c r="A151" s="4" t="n"/>
    </row>
    <row r="152">
      <c r="A152" s="4" t="n"/>
    </row>
    <row r="153">
      <c r="A153" s="4" t="n"/>
    </row>
    <row r="154">
      <c r="A154" s="4" t="n"/>
    </row>
    <row r="155">
      <c r="A155" s="4" t="n"/>
    </row>
    <row r="156">
      <c r="A156" s="4" t="n"/>
    </row>
    <row r="157">
      <c r="A157" s="4" t="n"/>
    </row>
    <row r="158">
      <c r="A158" s="4" t="n"/>
    </row>
    <row r="159">
      <c r="A159" s="4" t="n"/>
    </row>
    <row r="160">
      <c r="A160" s="4" t="n"/>
    </row>
    <row r="161">
      <c r="A161" s="4" t="n"/>
    </row>
    <row r="162">
      <c r="A162" s="4" t="n"/>
    </row>
    <row r="163">
      <c r="A163" s="4" t="n"/>
    </row>
    <row r="164">
      <c r="A164" s="4" t="n"/>
    </row>
    <row r="165">
      <c r="A165" s="4" t="n"/>
    </row>
    <row r="166">
      <c r="A166" s="4" t="n"/>
    </row>
    <row r="167">
      <c r="A167" s="4" t="n"/>
    </row>
    <row r="168">
      <c r="A168" s="4" t="n"/>
    </row>
    <row r="169">
      <c r="A169" s="4" t="n"/>
    </row>
    <row r="170">
      <c r="A170" s="4" t="n"/>
    </row>
    <row r="171">
      <c r="A171" s="4" t="n"/>
    </row>
    <row r="172">
      <c r="A172" s="4" t="n"/>
    </row>
    <row r="173">
      <c r="A173" s="4" t="n"/>
    </row>
    <row r="174">
      <c r="A174" s="4" t="n"/>
    </row>
    <row r="175">
      <c r="A175" s="4" t="n"/>
    </row>
    <row r="176">
      <c r="A176" s="4" t="n"/>
    </row>
    <row r="177">
      <c r="A177" s="4" t="n"/>
    </row>
    <row r="178">
      <c r="A178" s="4" t="n"/>
    </row>
    <row r="179">
      <c r="A179" s="4" t="n"/>
    </row>
    <row r="180">
      <c r="A180" s="4" t="n"/>
    </row>
    <row r="181">
      <c r="A181" s="4" t="n"/>
    </row>
    <row r="182">
      <c r="A182" s="4" t="n"/>
    </row>
    <row r="183">
      <c r="A183" s="4" t="n"/>
    </row>
    <row r="184">
      <c r="A184" s="4" t="n"/>
    </row>
    <row r="185">
      <c r="A185" s="4" t="n"/>
    </row>
    <row r="186">
      <c r="A186" s="4" t="n"/>
    </row>
    <row r="187">
      <c r="A187" s="4" t="n"/>
    </row>
    <row r="188">
      <c r="A188" s="4" t="n"/>
    </row>
    <row r="189">
      <c r="A189" s="4" t="n"/>
    </row>
    <row r="190">
      <c r="A190" s="4" t="n"/>
    </row>
    <row r="191">
      <c r="A191" s="4" t="n"/>
    </row>
    <row r="192">
      <c r="A192" s="4" t="n"/>
    </row>
    <row r="193">
      <c r="A193" s="4" t="n"/>
    </row>
    <row r="194">
      <c r="A194" s="4" t="n"/>
    </row>
    <row r="195">
      <c r="A195" s="4" t="n"/>
    </row>
    <row r="196">
      <c r="A196" s="4" t="n"/>
    </row>
    <row r="197">
      <c r="A197" s="4" t="n"/>
    </row>
    <row r="198">
      <c r="A198" s="4" t="n"/>
    </row>
    <row r="199">
      <c r="A199" s="4" t="n"/>
    </row>
    <row r="200">
      <c r="A200" s="4" t="n"/>
    </row>
    <row r="201">
      <c r="A201" s="4" t="n"/>
    </row>
    <row r="202">
      <c r="A202" s="4" t="n"/>
    </row>
    <row r="203">
      <c r="A203" s="4" t="n"/>
    </row>
    <row r="204">
      <c r="A204" s="4" t="n"/>
    </row>
    <row r="205">
      <c r="A205" s="4" t="n"/>
    </row>
    <row r="206">
      <c r="A206" s="4" t="n"/>
    </row>
    <row r="207">
      <c r="A207" s="4" t="n"/>
    </row>
    <row r="208">
      <c r="A208" s="4" t="n"/>
    </row>
    <row r="209">
      <c r="A209" s="4" t="n"/>
    </row>
    <row r="210">
      <c r="A210" s="4" t="n"/>
    </row>
    <row r="211">
      <c r="A211" s="4" t="n"/>
    </row>
    <row r="212">
      <c r="A212" s="4" t="n"/>
    </row>
    <row r="213">
      <c r="A213" s="4" t="n"/>
    </row>
    <row r="214">
      <c r="A214" s="4" t="n"/>
    </row>
    <row r="215">
      <c r="A215" s="4" t="n"/>
    </row>
    <row r="216">
      <c r="A216" s="4" t="n"/>
    </row>
    <row r="217">
      <c r="A217" s="4" t="n"/>
    </row>
    <row r="218">
      <c r="A218" s="4" t="n"/>
    </row>
    <row r="219">
      <c r="A219" s="4" t="n"/>
    </row>
    <row r="220">
      <c r="A220" s="4" t="n"/>
    </row>
    <row r="221">
      <c r="A221" s="4" t="n"/>
    </row>
    <row r="222">
      <c r="A222" s="4" t="n"/>
    </row>
    <row r="223">
      <c r="A223" s="4" t="n"/>
    </row>
    <row r="224">
      <c r="A224" s="4" t="n"/>
    </row>
    <row r="225">
      <c r="A225" s="4" t="n"/>
    </row>
    <row r="226">
      <c r="A226" s="4" t="n"/>
    </row>
    <row r="227">
      <c r="A227" s="4" t="n"/>
    </row>
    <row r="228">
      <c r="A228" s="4" t="n"/>
    </row>
    <row r="229">
      <c r="A229" s="4" t="n"/>
    </row>
    <row r="230">
      <c r="A230" s="4" t="n"/>
    </row>
    <row r="231">
      <c r="A231" s="4" t="n"/>
    </row>
    <row r="232">
      <c r="A232" s="4" t="n"/>
    </row>
    <row r="233">
      <c r="A233" s="4" t="n"/>
    </row>
    <row r="234">
      <c r="A234" s="4" t="n"/>
    </row>
    <row r="235">
      <c r="A235" s="4" t="n"/>
    </row>
    <row r="236">
      <c r="A236" s="4" t="n"/>
    </row>
    <row r="237">
      <c r="A237" s="4" t="n"/>
    </row>
    <row r="238">
      <c r="A238" s="4" t="n"/>
    </row>
    <row r="239">
      <c r="A239" s="4" t="n"/>
    </row>
    <row r="240">
      <c r="A240" s="4" t="n"/>
    </row>
    <row r="241">
      <c r="A241" s="4" t="n"/>
    </row>
    <row r="242">
      <c r="A242" s="4" t="n"/>
    </row>
    <row r="243">
      <c r="A243" s="4" t="n"/>
    </row>
    <row r="244">
      <c r="A244" s="4" t="n"/>
    </row>
    <row r="245">
      <c r="A245" s="4" t="n"/>
    </row>
    <row r="246">
      <c r="A246" s="4" t="n"/>
    </row>
    <row r="247">
      <c r="A247" s="4" t="n"/>
    </row>
    <row r="248">
      <c r="A248" s="4" t="n"/>
    </row>
    <row r="249">
      <c r="A249" s="4" t="n"/>
    </row>
    <row r="250">
      <c r="A250" s="4" t="n"/>
    </row>
    <row r="251">
      <c r="A251" s="4" t="n"/>
    </row>
    <row r="252">
      <c r="A252" s="4" t="n"/>
    </row>
    <row r="253">
      <c r="A253" s="4" t="n"/>
    </row>
    <row r="254">
      <c r="A254" s="4" t="n"/>
    </row>
    <row r="255">
      <c r="A255" s="4" t="n"/>
    </row>
    <row r="256">
      <c r="A256" s="4" t="n"/>
    </row>
    <row r="257">
      <c r="A257" s="4" t="n"/>
    </row>
    <row r="258">
      <c r="A258" s="4" t="n"/>
    </row>
    <row r="259">
      <c r="A259" s="4" t="n"/>
    </row>
    <row r="260">
      <c r="A260" s="4" t="n"/>
    </row>
    <row r="261">
      <c r="A261" s="4" t="n"/>
    </row>
    <row r="262">
      <c r="A262" s="4" t="n"/>
    </row>
    <row r="263">
      <c r="A263" s="4" t="n"/>
    </row>
    <row r="264">
      <c r="A264" s="4" t="n"/>
    </row>
    <row r="265">
      <c r="A265" s="4" t="n"/>
    </row>
    <row r="266">
      <c r="A266" s="4" t="n"/>
    </row>
    <row r="267">
      <c r="A267" s="4" t="n"/>
    </row>
    <row r="268">
      <c r="A268" s="4" t="n"/>
    </row>
    <row r="269">
      <c r="A269" s="4" t="n"/>
    </row>
    <row r="270">
      <c r="A270" s="4" t="n"/>
    </row>
    <row r="271">
      <c r="A271" s="4" t="n"/>
    </row>
    <row r="272">
      <c r="A272" s="4" t="n"/>
    </row>
    <row r="273">
      <c r="A273" s="4" t="n"/>
    </row>
    <row r="274">
      <c r="A274" s="4" t="n"/>
    </row>
    <row r="275">
      <c r="A275" s="4" t="n"/>
    </row>
    <row r="276">
      <c r="A276" s="4" t="n"/>
    </row>
    <row r="277">
      <c r="A277" s="4" t="n"/>
    </row>
    <row r="278">
      <c r="A278" s="4" t="n"/>
    </row>
    <row r="279">
      <c r="A279" s="4" t="n"/>
    </row>
    <row r="280">
      <c r="A280" s="4" t="n"/>
    </row>
    <row r="281">
      <c r="A281" s="4" t="n"/>
    </row>
    <row r="282">
      <c r="A282" s="4" t="n"/>
    </row>
    <row r="283">
      <c r="A283" s="4" t="n"/>
    </row>
    <row r="284">
      <c r="A284" s="4" t="n"/>
    </row>
    <row r="285">
      <c r="A285" s="4" t="n"/>
    </row>
    <row r="286">
      <c r="A286" s="4" t="n"/>
    </row>
    <row r="287">
      <c r="A287" s="4" t="n"/>
    </row>
    <row r="288">
      <c r="A288" s="4" t="n"/>
    </row>
    <row r="289">
      <c r="A289" s="4" t="n"/>
    </row>
    <row r="290">
      <c r="A290" s="4" t="n"/>
    </row>
    <row r="291">
      <c r="A291" s="4" t="n"/>
    </row>
    <row r="292">
      <c r="A292" s="4" t="n"/>
    </row>
    <row r="293">
      <c r="A293" s="4" t="n"/>
    </row>
    <row r="294">
      <c r="A294" s="4" t="n"/>
    </row>
    <row r="295">
      <c r="A295" s="4" t="n"/>
    </row>
    <row r="296">
      <c r="A296" s="4" t="n"/>
    </row>
    <row r="297">
      <c r="A297" s="4" t="n"/>
    </row>
    <row r="298">
      <c r="A298" s="4" t="n"/>
    </row>
    <row r="299">
      <c r="A299" s="4" t="n"/>
    </row>
    <row r="300">
      <c r="A300" s="4" t="n"/>
    </row>
    <row r="301">
      <c r="A301" s="4" t="n"/>
    </row>
    <row r="302">
      <c r="A302" s="4" t="n"/>
    </row>
    <row r="303">
      <c r="A303" s="4" t="n"/>
    </row>
    <row r="304">
      <c r="A304" s="4" t="n"/>
    </row>
    <row r="305">
      <c r="A305" s="4" t="n"/>
    </row>
    <row r="306">
      <c r="A306" s="4" t="n"/>
    </row>
    <row r="307">
      <c r="A307" s="4" t="n"/>
    </row>
    <row r="308">
      <c r="A308" s="4" t="n"/>
    </row>
    <row r="309">
      <c r="A309" s="4" t="n"/>
    </row>
    <row r="310">
      <c r="A310" s="4" t="n"/>
    </row>
    <row r="311">
      <c r="A311" s="4" t="n"/>
    </row>
    <row r="312">
      <c r="A312" s="4" t="n"/>
    </row>
    <row r="313">
      <c r="A313" s="4" t="n"/>
    </row>
    <row r="314">
      <c r="A314" s="4" t="n"/>
    </row>
    <row r="315">
      <c r="A315" s="4" t="n"/>
    </row>
    <row r="316">
      <c r="A316" s="4" t="n"/>
    </row>
    <row r="317">
      <c r="A317" s="4" t="n"/>
    </row>
    <row r="318">
      <c r="A318" s="4" t="n"/>
    </row>
    <row r="319">
      <c r="A319" s="4" t="n"/>
    </row>
    <row r="320">
      <c r="A320" s="4" t="n"/>
    </row>
    <row r="321">
      <c r="A321" s="4" t="n"/>
    </row>
    <row r="322">
      <c r="A322" s="4" t="n"/>
    </row>
    <row r="323">
      <c r="A323" s="4" t="n"/>
    </row>
    <row r="324">
      <c r="A324" s="4" t="n"/>
    </row>
    <row r="325">
      <c r="A325" s="4" t="n"/>
    </row>
    <row r="326">
      <c r="A326" s="4" t="n"/>
    </row>
    <row r="327">
      <c r="A327" s="4" t="n"/>
    </row>
    <row r="328">
      <c r="A328" s="4" t="n"/>
    </row>
    <row r="329">
      <c r="A329" s="4" t="n"/>
    </row>
    <row r="330">
      <c r="A330" s="4" t="n"/>
    </row>
    <row r="331">
      <c r="A331" s="4" t="n"/>
    </row>
    <row r="332">
      <c r="A332" s="4" t="n"/>
    </row>
    <row r="333">
      <c r="A333" s="4" t="n"/>
    </row>
    <row r="334">
      <c r="A334" s="4" t="n"/>
    </row>
    <row r="335">
      <c r="A335" s="4" t="n"/>
    </row>
    <row r="336">
      <c r="A336" s="4" t="n"/>
    </row>
    <row r="337">
      <c r="A337" s="4" t="n"/>
    </row>
    <row r="338">
      <c r="A338" s="4" t="n"/>
    </row>
    <row r="339">
      <c r="A339" s="4" t="n"/>
    </row>
    <row r="340">
      <c r="A340" s="4" t="n"/>
    </row>
    <row r="341">
      <c r="A341" s="4" t="n"/>
    </row>
    <row r="342">
      <c r="A342" s="4" t="n"/>
    </row>
    <row r="343">
      <c r="A343" s="4" t="n"/>
    </row>
    <row r="344">
      <c r="A344" s="4" t="n"/>
    </row>
    <row r="345">
      <c r="A345" s="4" t="n"/>
    </row>
    <row r="346">
      <c r="A346" s="4" t="n"/>
    </row>
    <row r="347">
      <c r="A347" s="4" t="n"/>
    </row>
    <row r="348">
      <c r="A348" s="4" t="n"/>
    </row>
    <row r="349">
      <c r="A349" s="4" t="n"/>
    </row>
    <row r="350">
      <c r="A350" s="4" t="n"/>
    </row>
    <row r="351">
      <c r="A351" s="4" t="n"/>
    </row>
    <row r="352">
      <c r="A352" s="4" t="n"/>
    </row>
    <row r="353">
      <c r="A353" s="4" t="n"/>
    </row>
    <row r="354">
      <c r="A354" s="4" t="n"/>
    </row>
    <row r="355">
      <c r="A355" s="4" t="n"/>
    </row>
    <row r="356">
      <c r="A356" s="4" t="n"/>
    </row>
    <row r="357">
      <c r="A357" s="4" t="n"/>
    </row>
    <row r="358">
      <c r="A358" s="4" t="n"/>
    </row>
    <row r="359">
      <c r="A359" s="4" t="n"/>
    </row>
    <row r="360">
      <c r="A360" s="4" t="n"/>
    </row>
    <row r="361">
      <c r="A361" s="4" t="n"/>
    </row>
    <row r="362">
      <c r="A362" s="4" t="n"/>
    </row>
    <row r="363">
      <c r="A363" s="4" t="n"/>
    </row>
    <row r="364">
      <c r="A364" s="4" t="n"/>
    </row>
    <row r="365">
      <c r="A365" s="4" t="n"/>
    </row>
    <row r="366">
      <c r="A366" s="4" t="n"/>
    </row>
    <row r="367">
      <c r="A367" s="4" t="n"/>
    </row>
    <row r="368">
      <c r="A368" s="4" t="n"/>
    </row>
    <row r="369">
      <c r="A369" s="4" t="n"/>
    </row>
    <row r="370">
      <c r="A370" s="4" t="n"/>
    </row>
    <row r="371">
      <c r="A371" s="4" t="n"/>
    </row>
    <row r="372">
      <c r="A372" s="4" t="n"/>
    </row>
    <row r="373">
      <c r="A373" s="4" t="n"/>
    </row>
    <row r="374">
      <c r="A374" s="4" t="n"/>
    </row>
    <row r="375">
      <c r="A375" s="4" t="n"/>
    </row>
    <row r="376">
      <c r="A376" s="4" t="n"/>
    </row>
    <row r="377">
      <c r="A377" s="4" t="n"/>
    </row>
    <row r="378">
      <c r="A378" s="4" t="n"/>
    </row>
    <row r="379">
      <c r="A379" s="4" t="n"/>
    </row>
    <row r="380">
      <c r="A380" s="4" t="n"/>
    </row>
    <row r="381">
      <c r="A381" s="4" t="n"/>
    </row>
    <row r="382">
      <c r="A382" s="4" t="n"/>
    </row>
    <row r="383">
      <c r="A383" s="4" t="n"/>
    </row>
    <row r="384">
      <c r="A384" s="4" t="n"/>
    </row>
    <row r="385">
      <c r="A385" s="4" t="n"/>
    </row>
    <row r="386">
      <c r="A386" s="4" t="n"/>
    </row>
    <row r="387">
      <c r="A387" s="4" t="n"/>
    </row>
    <row r="388">
      <c r="A388" s="4" t="n"/>
    </row>
    <row r="389">
      <c r="A389" s="4" t="n"/>
    </row>
    <row r="390">
      <c r="A390" s="4" t="n"/>
    </row>
    <row r="391">
      <c r="A391" s="4" t="n"/>
    </row>
    <row r="392">
      <c r="A392" s="4" t="n"/>
    </row>
    <row r="393">
      <c r="A393" s="4" t="n"/>
    </row>
    <row r="394">
      <c r="A394" s="4" t="n"/>
    </row>
    <row r="395">
      <c r="A395" s="4" t="n"/>
    </row>
    <row r="396">
      <c r="A396" s="4" t="n"/>
    </row>
    <row r="397">
      <c r="A397" s="4" t="n"/>
    </row>
    <row r="398">
      <c r="A398" s="4" t="n"/>
    </row>
    <row r="399">
      <c r="A399" s="4" t="n"/>
    </row>
    <row r="400">
      <c r="A400" s="4" t="n"/>
    </row>
    <row r="401">
      <c r="A401" s="4" t="n"/>
    </row>
    <row r="402">
      <c r="A402" s="4" t="n"/>
    </row>
    <row r="403">
      <c r="A403" s="4" t="n"/>
    </row>
    <row r="404">
      <c r="A404" s="4" t="n"/>
    </row>
    <row r="405">
      <c r="A405" s="4" t="n"/>
    </row>
    <row r="406">
      <c r="A406" s="4" t="n"/>
    </row>
    <row r="407">
      <c r="A407" s="4" t="n"/>
    </row>
    <row r="408">
      <c r="A408" s="4" t="n"/>
    </row>
    <row r="409">
      <c r="A409" s="4" t="n"/>
    </row>
    <row r="410">
      <c r="A410" s="4" t="n"/>
    </row>
    <row r="411">
      <c r="A411" s="4" t="n"/>
    </row>
    <row r="412">
      <c r="A412" s="4" t="n"/>
    </row>
    <row r="413">
      <c r="A413" s="4" t="n"/>
    </row>
    <row r="414">
      <c r="A414" s="4" t="n"/>
    </row>
    <row r="415">
      <c r="A415" s="4" t="n"/>
    </row>
    <row r="416">
      <c r="A416" s="4" t="n"/>
    </row>
    <row r="417">
      <c r="A417" s="4" t="n"/>
    </row>
    <row r="418">
      <c r="A418" s="4" t="n"/>
    </row>
    <row r="419">
      <c r="A419" s="4" t="n"/>
    </row>
    <row r="420">
      <c r="A420" s="4" t="n"/>
    </row>
    <row r="421">
      <c r="A421" s="4" t="n"/>
    </row>
    <row r="422">
      <c r="A422" s="4" t="n"/>
    </row>
    <row r="423">
      <c r="A423" s="4" t="n"/>
    </row>
    <row r="424">
      <c r="A424" s="4" t="n"/>
    </row>
    <row r="425">
      <c r="A425" s="4" t="n"/>
    </row>
    <row r="426">
      <c r="A426" s="4" t="n"/>
    </row>
    <row r="427">
      <c r="A427" s="4" t="n"/>
    </row>
    <row r="428">
      <c r="A428" s="4" t="n"/>
    </row>
    <row r="429">
      <c r="A429" s="4" t="n"/>
    </row>
    <row r="430">
      <c r="A430" s="4" t="n"/>
    </row>
    <row r="431">
      <c r="A431" s="4" t="n"/>
    </row>
    <row r="432">
      <c r="A432" s="4" t="n"/>
    </row>
    <row r="433">
      <c r="A433" s="4" t="n"/>
    </row>
    <row r="434">
      <c r="A434" s="4" t="n"/>
    </row>
    <row r="435">
      <c r="A435" s="4" t="n"/>
    </row>
    <row r="436">
      <c r="A436" s="4" t="n"/>
    </row>
    <row r="437">
      <c r="A437" s="4" t="n"/>
    </row>
    <row r="438">
      <c r="A438" s="4" t="n"/>
    </row>
    <row r="439">
      <c r="A439" s="4" t="n"/>
    </row>
    <row r="440">
      <c r="A440" s="4" t="n"/>
    </row>
    <row r="441">
      <c r="A441" s="4" t="n"/>
    </row>
    <row r="442">
      <c r="A442" s="4" t="n"/>
    </row>
    <row r="443">
      <c r="A443" s="4" t="n"/>
    </row>
    <row r="444">
      <c r="A444" s="4" t="n"/>
    </row>
    <row r="445">
      <c r="A445" s="4" t="n"/>
    </row>
    <row r="446">
      <c r="A446" s="4" t="n"/>
    </row>
    <row r="447">
      <c r="A447" s="4" t="n"/>
    </row>
    <row r="448">
      <c r="A448" s="4" t="n"/>
    </row>
    <row r="449">
      <c r="A449" s="4" t="n"/>
    </row>
    <row r="450">
      <c r="A450" s="4" t="n"/>
    </row>
    <row r="451">
      <c r="A451" s="4" t="n"/>
    </row>
    <row r="452">
      <c r="A452" s="4" t="n"/>
    </row>
    <row r="453">
      <c r="A453" s="4" t="n"/>
    </row>
    <row r="454">
      <c r="A454" s="4" t="n"/>
    </row>
    <row r="455">
      <c r="A455" s="4" t="n"/>
    </row>
    <row r="456">
      <c r="A456" s="4" t="n"/>
    </row>
    <row r="457">
      <c r="A457" s="4" t="n"/>
    </row>
    <row r="458">
      <c r="A458" s="4" t="n"/>
    </row>
    <row r="459">
      <c r="A459" s="4" t="n"/>
    </row>
    <row r="460">
      <c r="A460" s="4" t="n"/>
    </row>
    <row r="461">
      <c r="A461" s="4" t="n"/>
    </row>
    <row r="462">
      <c r="A462" s="4" t="n"/>
    </row>
    <row r="463">
      <c r="A463" s="4" t="n"/>
    </row>
    <row r="464">
      <c r="A464" s="4" t="n"/>
    </row>
    <row r="465">
      <c r="A465" s="4" t="n"/>
    </row>
    <row r="466">
      <c r="A466" s="4" t="n"/>
    </row>
    <row r="467">
      <c r="A467" s="4" t="n"/>
    </row>
    <row r="468">
      <c r="A468" s="4" t="n"/>
    </row>
    <row r="469">
      <c r="A469" s="4" t="n"/>
    </row>
    <row r="470">
      <c r="A470" s="4" t="n"/>
    </row>
    <row r="471">
      <c r="A471" s="4" t="n"/>
    </row>
    <row r="472">
      <c r="A472" s="4" t="n"/>
    </row>
    <row r="473">
      <c r="A473" s="4" t="n"/>
    </row>
    <row r="474">
      <c r="A474" s="4" t="n"/>
    </row>
    <row r="475">
      <c r="A475" s="4" t="n"/>
    </row>
    <row r="476">
      <c r="A476" s="4" t="n"/>
    </row>
    <row r="477">
      <c r="A477" s="4" t="n"/>
    </row>
    <row r="478">
      <c r="A478" s="4" t="n"/>
    </row>
    <row r="479">
      <c r="A479" s="4" t="n"/>
    </row>
    <row r="480">
      <c r="A480" s="4" t="n"/>
    </row>
    <row r="481">
      <c r="A481" s="4" t="n"/>
    </row>
    <row r="482">
      <c r="A482" s="4" t="n"/>
    </row>
    <row r="483">
      <c r="A483" s="4" t="n"/>
    </row>
    <row r="484">
      <c r="A484" s="4" t="n"/>
    </row>
    <row r="485">
      <c r="A485" s="4" t="n"/>
    </row>
    <row r="486">
      <c r="A486" s="4" t="n"/>
    </row>
    <row r="487">
      <c r="A487" s="4" t="n"/>
    </row>
    <row r="488">
      <c r="A488" s="4" t="n"/>
    </row>
    <row r="489">
      <c r="A489" s="4" t="n"/>
    </row>
    <row r="490">
      <c r="A490" s="4" t="n"/>
    </row>
    <row r="491">
      <c r="A491" s="4" t="n"/>
    </row>
    <row r="492">
      <c r="A492" s="4" t="n"/>
    </row>
    <row r="493">
      <c r="A493" s="4" t="n"/>
    </row>
    <row r="494">
      <c r="A494" s="4" t="n"/>
    </row>
    <row r="495">
      <c r="A495" s="4" t="n"/>
    </row>
    <row r="496">
      <c r="A496" s="4" t="n"/>
    </row>
    <row r="497">
      <c r="A497" s="4" t="n"/>
    </row>
    <row r="498">
      <c r="A498" s="4" t="n"/>
    </row>
    <row r="499">
      <c r="A499" s="4" t="n"/>
    </row>
    <row r="500">
      <c r="A500" s="4" t="n"/>
    </row>
    <row r="501">
      <c r="A501" s="4" t="n"/>
    </row>
    <row r="502">
      <c r="A502" s="4" t="n"/>
    </row>
    <row r="503">
      <c r="A503" s="4" t="n"/>
    </row>
    <row r="504">
      <c r="A504" s="4" t="n"/>
    </row>
    <row r="505">
      <c r="A505" s="4" t="n"/>
    </row>
    <row r="506">
      <c r="A506" s="4" t="n"/>
    </row>
    <row r="507">
      <c r="A507" s="4" t="n"/>
    </row>
    <row r="508">
      <c r="A508" s="4" t="n"/>
    </row>
    <row r="509">
      <c r="A509" s="4" t="n"/>
    </row>
    <row r="510">
      <c r="A510" s="4" t="n"/>
    </row>
    <row r="511">
      <c r="A511" s="4" t="n"/>
    </row>
    <row r="512">
      <c r="A512" s="4" t="n"/>
    </row>
    <row r="513">
      <c r="A513" s="4" t="n"/>
    </row>
    <row r="514">
      <c r="A514" s="4" t="n"/>
    </row>
    <row r="515">
      <c r="A515" s="4" t="n"/>
    </row>
    <row r="516">
      <c r="A516" s="4" t="n"/>
    </row>
    <row r="517">
      <c r="A517" s="4" t="n"/>
    </row>
    <row r="518">
      <c r="A518" s="4" t="n"/>
    </row>
    <row r="519">
      <c r="A519" s="4" t="n"/>
    </row>
    <row r="520">
      <c r="A520" s="4" t="n"/>
    </row>
    <row r="521">
      <c r="A521" s="4" t="n"/>
    </row>
    <row r="522">
      <c r="A522" s="4" t="n"/>
    </row>
    <row r="523">
      <c r="A523" s="4" t="n"/>
    </row>
    <row r="524">
      <c r="A524" s="4" t="n"/>
    </row>
    <row r="525">
      <c r="A525" s="4" t="n"/>
    </row>
    <row r="526">
      <c r="A526" s="4" t="n"/>
    </row>
    <row r="527">
      <c r="A527" s="4" t="n"/>
    </row>
    <row r="528">
      <c r="A528" s="4" t="n"/>
    </row>
    <row r="529">
      <c r="A529" s="4" t="n"/>
    </row>
    <row r="530">
      <c r="A530" s="4" t="n"/>
    </row>
    <row r="531">
      <c r="A531" s="4" t="n"/>
    </row>
    <row r="532">
      <c r="A532" s="4" t="n"/>
    </row>
    <row r="533">
      <c r="A533" s="4" t="n"/>
    </row>
    <row r="534">
      <c r="A534" s="4" t="n"/>
    </row>
    <row r="535">
      <c r="A535" s="4" t="n"/>
    </row>
    <row r="536">
      <c r="A536" s="4" t="n"/>
    </row>
    <row r="537">
      <c r="A537" s="4" t="n"/>
    </row>
    <row r="538">
      <c r="A538" s="4" t="n"/>
    </row>
    <row r="539">
      <c r="A539" s="4" t="n"/>
    </row>
    <row r="540">
      <c r="A540" s="4" t="n"/>
    </row>
    <row r="541">
      <c r="A541" s="4" t="n"/>
    </row>
    <row r="542">
      <c r="A542" s="4" t="n"/>
    </row>
    <row r="543">
      <c r="A543" s="4" t="n"/>
    </row>
    <row r="544">
      <c r="A544" s="4" t="n"/>
    </row>
    <row r="545">
      <c r="A545" s="4" t="n"/>
    </row>
    <row r="546">
      <c r="A546" s="4" t="n"/>
    </row>
    <row r="547">
      <c r="A547" s="4" t="n"/>
    </row>
    <row r="548">
      <c r="A548" s="4" t="n"/>
    </row>
    <row r="549">
      <c r="A549" s="4" t="n"/>
    </row>
    <row r="550">
      <c r="A550" s="4" t="n"/>
    </row>
    <row r="551">
      <c r="A551" s="4" t="n"/>
    </row>
    <row r="552">
      <c r="A552" s="4" t="n"/>
    </row>
    <row r="553">
      <c r="A553" s="4" t="n"/>
    </row>
    <row r="554">
      <c r="A554" s="4" t="n"/>
    </row>
    <row r="555">
      <c r="A555" s="4" t="n"/>
    </row>
    <row r="556">
      <c r="A556" s="4" t="n"/>
    </row>
    <row r="557">
      <c r="A557" s="4" t="n"/>
    </row>
    <row r="558">
      <c r="A558" s="4" t="n"/>
    </row>
    <row r="559">
      <c r="A559" s="4" t="n"/>
    </row>
    <row r="560">
      <c r="A560" s="4" t="n"/>
    </row>
    <row r="561">
      <c r="A561" s="4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6XWjVRF6OD4L7NyEpufA0w==" formatRows="1" sort="1" spinCount="100000" hashValue="xNpKYX4LGFJd+xkuWyoeuHb7J7ZxJaKMhohTUbKPAo996LOoswqFLqaZiIo/MuU0lpz5xHsUrtxNsuH1o8ohGw=="/>
  <dataValidations count="6">
    <dataValidation sqref="M1 M5:M18 M76:M1048576" showDropDown="0" showInputMessage="1" showErrorMessage="1" allowBlank="1" errorTitle="ERROR" error="Datele nu corespund." promptTitle="INFO" prompt="Introduceți date mai vechi decât data de azi." type="date" operator="lessThanOrEqual">
      <formula1>43840</formula1>
    </dataValidation>
    <dataValidation sqref="L1 L5:L18 L76:L1048576" showDropDown="0" showInputMessage="1" showErrorMessage="1" allowBlank="1" errorTitle="ERROR" error="Datele nu corespund." promptTitle="INFO" prompt="Numere intregi între 0 și 250.000" type="whole">
      <formula1>0</formula1>
      <formula2>250000</formula2>
    </dataValidation>
    <dataValidation sqref="H5:H18 H76:H1048576" showDropDown="0" showInputMessage="1" showErrorMessage="1" allowBlank="1" errorTitle="ERROR" error="Datele nu corespund." promptTitle="INFO" prompt="Exact 17 caractere" type="textLength" operator="equal">
      <formula1>17</formula1>
    </dataValidation>
    <dataValidation sqref="H4" showDropDown="0" showInputMessage="1" showErrorMessage="1" allowBlank="1" errorTitle="ERROR" error="Datele nu corespund." promptTitle="INFO" prompt="Exact 17 caractere" operator="equal"/>
    <dataValidation sqref="L4" showDropDown="0" showInputMessage="1" showErrorMessage="1" allowBlank="1" errorTitle="ERROR" error="Datele nu corespund." promptTitle="INFO" prompt="Numere intregi între 0 și 250.000"/>
    <dataValidation sqref="M4" showDropDown="0" showInputMessage="1" showErrorMessage="1" allowBlank="1" errorTitle="ERROR" error="Datele nu corespund." promptTitle="INFO" prompt="Introduceți date mai vechi decât data de azi." operator="lessThanOrEqual"/>
  </dataValidation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107"/>
  <sheetViews>
    <sheetView workbookViewId="0">
      <selection activeCell="AG29" sqref="AG29"/>
    </sheetView>
  </sheetViews>
  <sheetFormatPr baseColWidth="10" defaultRowHeight="16"/>
  <cols>
    <col width="2.83203125" customWidth="1" style="3" min="1" max="1"/>
    <col width="3" customWidth="1" style="3" min="2" max="2"/>
    <col width="3.1640625" customWidth="1" style="3" min="3" max="3"/>
    <col width="15.83203125" customWidth="1" style="3" min="4" max="4"/>
    <col width="18.5" customWidth="1" style="3" min="5" max="6"/>
    <col width="11.83203125" customWidth="1" style="3" min="8" max="8"/>
    <col width="3.33203125" customWidth="1" style="3" min="14" max="14"/>
    <col width="3.5" customWidth="1" style="3" min="15" max="15"/>
    <col width="3.6640625" customWidth="1" style="3" min="16" max="16"/>
    <col width="3.33203125" customWidth="1" style="3" min="17" max="17"/>
    <col width="9.83203125" customWidth="1" style="3" min="23" max="23"/>
    <col width="3.33203125" customWidth="1" style="3" min="24" max="26"/>
  </cols>
  <sheetData>
    <row r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</row>
    <row r="2" ht="17" customHeight="1" s="3" thickBot="1">
      <c r="A2" s="4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4" t="n"/>
      <c r="Q2" s="5" t="n"/>
      <c r="R2" s="5" t="n"/>
      <c r="S2" s="5" t="n"/>
      <c r="T2" s="5" t="n"/>
      <c r="U2" s="5" t="n"/>
      <c r="V2" s="5" t="n"/>
      <c r="W2" s="5" t="n"/>
      <c r="X2" s="5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</row>
    <row r="3" ht="18" customHeight="1" s="3" thickBot="1" thickTop="1">
      <c r="A3" s="4" t="n"/>
      <c r="B3" s="5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5" t="n"/>
      <c r="P3" s="4" t="n"/>
      <c r="Q3" s="5" t="n"/>
      <c r="R3" s="100" t="inlineStr">
        <is>
          <t>IANUARIE</t>
        </is>
      </c>
      <c r="S3" s="104" t="inlineStr">
        <is>
          <t xml:space="preserve">FEBRUARIE </t>
        </is>
      </c>
      <c r="T3" s="108" t="inlineStr">
        <is>
          <t>MARTIE</t>
        </is>
      </c>
      <c r="U3" s="112" t="inlineStr">
        <is>
          <t>APRILIE</t>
        </is>
      </c>
      <c r="V3" s="120" t="inlineStr">
        <is>
          <t>MAI</t>
        </is>
      </c>
      <c r="W3" s="116" t="inlineStr">
        <is>
          <t>IUNIE</t>
        </is>
      </c>
      <c r="X3" s="5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</row>
    <row r="4" ht="17" customHeight="1" s="3" thickTop="1">
      <c r="A4" s="4" t="n"/>
      <c r="B4" s="5" t="n"/>
      <c r="C4" s="4" t="n"/>
      <c r="D4" s="136" t="inlineStr">
        <is>
          <t>NUMAR VEHICUL</t>
        </is>
      </c>
      <c r="E4" s="136" t="inlineStr">
        <is>
          <t>TIP VEHICUL</t>
        </is>
      </c>
      <c r="F4" s="136" t="inlineStr">
        <is>
          <t>TARIF/KM</t>
        </is>
      </c>
      <c r="G4" s="136" t="inlineStr">
        <is>
          <t>IANUARIE</t>
        </is>
      </c>
      <c r="H4" s="136" t="inlineStr">
        <is>
          <t xml:space="preserve">FEBRUARIE </t>
        </is>
      </c>
      <c r="I4" s="136" t="inlineStr">
        <is>
          <t>MARTIE</t>
        </is>
      </c>
      <c r="J4" s="136" t="inlineStr">
        <is>
          <t>APRILIE</t>
        </is>
      </c>
      <c r="K4" s="136" t="inlineStr">
        <is>
          <t>MAI</t>
        </is>
      </c>
      <c r="L4" s="136" t="inlineStr">
        <is>
          <t>IUNIE</t>
        </is>
      </c>
      <c r="M4" s="230" t="inlineStr">
        <is>
          <t>TOTAL CURSE</t>
        </is>
      </c>
      <c r="N4" s="4" t="n"/>
      <c r="O4" s="5" t="n"/>
      <c r="P4" s="4" t="n"/>
      <c r="Q4" s="5" t="n"/>
      <c r="R4" s="101" t="inlineStr">
        <is>
          <t>&lt;3</t>
        </is>
      </c>
      <c r="S4" s="105" t="inlineStr">
        <is>
          <t>&lt;4</t>
        </is>
      </c>
      <c r="T4" s="109" t="inlineStr">
        <is>
          <t>&lt;5</t>
        </is>
      </c>
      <c r="U4" s="113" t="inlineStr">
        <is>
          <t>&lt;6</t>
        </is>
      </c>
      <c r="V4" s="121" t="inlineStr">
        <is>
          <t>&lt;7</t>
        </is>
      </c>
      <c r="W4" s="117" t="inlineStr">
        <is>
          <t>&lt;8</t>
        </is>
      </c>
      <c r="X4" s="5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</row>
    <row r="5">
      <c r="A5" s="4" t="n"/>
      <c r="B5" s="5" t="n"/>
      <c r="C5" s="4" t="n"/>
      <c r="D5" s="130" t="n">
        <v>201</v>
      </c>
      <c r="E5" s="139" t="inlineStr">
        <is>
          <t>Cameră Superioară</t>
        </is>
      </c>
      <c r="F5" s="138">
        <f>VLOOKUP(D5,Camere!E:Q,5,0)</f>
        <v/>
      </c>
      <c r="G5" t="n">
        <v>6</v>
      </c>
      <c r="H5" t="n">
        <v>7</v>
      </c>
      <c r="I5" t="n">
        <v>10</v>
      </c>
      <c r="J5" t="n">
        <v>12</v>
      </c>
      <c r="K5" t="n">
        <v>15</v>
      </c>
      <c r="L5" t="n">
        <v>19</v>
      </c>
      <c r="M5" s="138">
        <f>SUM(G5:L5)</f>
        <v/>
      </c>
      <c r="N5" s="4" t="n"/>
      <c r="O5" s="5" t="n"/>
      <c r="P5" s="4" t="n"/>
      <c r="Q5" s="5" t="n"/>
      <c r="R5" s="102">
        <f>3</f>
        <v/>
      </c>
      <c r="S5" s="106">
        <f>3</f>
        <v/>
      </c>
      <c r="T5" s="110">
        <f>3</f>
        <v/>
      </c>
      <c r="U5" s="114">
        <f>3</f>
        <v/>
      </c>
      <c r="V5" s="122">
        <f>3</f>
        <v/>
      </c>
      <c r="W5" s="118">
        <f>3</f>
        <v/>
      </c>
      <c r="X5" s="5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</row>
    <row r="6" ht="17" customHeight="1" s="3" thickBot="1">
      <c r="A6" s="4" t="n"/>
      <c r="B6" s="5" t="n"/>
      <c r="C6" s="4" t="n"/>
      <c r="D6" s="130" t="n">
        <v>203</v>
      </c>
      <c r="E6" s="139" t="inlineStr">
        <is>
          <t>Cameră Superioară</t>
        </is>
      </c>
      <c r="F6" s="138">
        <f>VLOOKUP(D6,Camere!E:Q,5,0)</f>
        <v/>
      </c>
      <c r="G6" t="n">
        <v>5</v>
      </c>
      <c r="H6" t="n">
        <v>8</v>
      </c>
      <c r="I6" t="n">
        <v>9</v>
      </c>
      <c r="J6" t="n">
        <v>14</v>
      </c>
      <c r="K6" t="n">
        <v>11</v>
      </c>
      <c r="L6" t="n">
        <v>21</v>
      </c>
      <c r="M6" s="138">
        <f>SUM(G6:L6)</f>
        <v/>
      </c>
      <c r="N6" s="4" t="n"/>
      <c r="O6" s="5" t="n"/>
      <c r="P6" s="4" t="n"/>
      <c r="Q6" s="5" t="n"/>
      <c r="R6" s="103" t="inlineStr">
        <is>
          <t>&gt;3</t>
        </is>
      </c>
      <c r="S6" s="107" t="inlineStr">
        <is>
          <t>&gt;6</t>
        </is>
      </c>
      <c r="T6" s="111" t="inlineStr">
        <is>
          <t>&gt;8</t>
        </is>
      </c>
      <c r="U6" s="115" t="inlineStr">
        <is>
          <t>&gt;12</t>
        </is>
      </c>
      <c r="V6" s="123" t="inlineStr">
        <is>
          <t>&gt;13</t>
        </is>
      </c>
      <c r="W6" s="119" t="inlineStr">
        <is>
          <t>&gt;14</t>
        </is>
      </c>
      <c r="X6" s="5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</row>
    <row r="7" ht="17" customHeight="1" s="3" thickTop="1">
      <c r="A7" s="4" t="n"/>
      <c r="B7" s="5" t="n"/>
      <c r="C7" s="4" t="n"/>
      <c r="D7" s="130" t="n">
        <v>205</v>
      </c>
      <c r="E7" s="139" t="inlineStr">
        <is>
          <t>Cameră Superioară</t>
        </is>
      </c>
      <c r="F7" s="138">
        <f>VLOOKUP(D7,Camere!E:Q,5,0)</f>
        <v/>
      </c>
      <c r="G7" t="n">
        <v>2</v>
      </c>
      <c r="H7" t="n">
        <v>3</v>
      </c>
      <c r="I7" t="n">
        <v>7</v>
      </c>
      <c r="J7" t="n">
        <v>11</v>
      </c>
      <c r="K7" t="n">
        <v>16</v>
      </c>
      <c r="L7" t="n">
        <v>20</v>
      </c>
      <c r="M7" s="138">
        <f>SUM(G7:L7)</f>
        <v/>
      </c>
      <c r="N7" s="4" t="n"/>
      <c r="O7" s="5" t="n"/>
      <c r="P7" s="4" t="n"/>
      <c r="Q7" s="5" t="n"/>
      <c r="R7" s="5" t="n"/>
      <c r="S7" s="5" t="n"/>
      <c r="T7" s="5" t="n"/>
      <c r="U7" s="5" t="n"/>
      <c r="V7" s="5" t="n"/>
      <c r="W7" s="5" t="n"/>
      <c r="X7" s="5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</row>
    <row r="8">
      <c r="A8" s="4" t="n"/>
      <c r="B8" s="5" t="n"/>
      <c r="C8" s="4" t="n"/>
      <c r="D8" s="130" t="n">
        <v>301</v>
      </c>
      <c r="E8" s="139" t="inlineStr">
        <is>
          <t>Cameră Superioară</t>
        </is>
      </c>
      <c r="F8" s="138">
        <f>VLOOKUP(D8,Camere!E:Q,5,0)</f>
        <v/>
      </c>
      <c r="G8" t="n">
        <v>4</v>
      </c>
      <c r="H8" t="n">
        <v>6</v>
      </c>
      <c r="I8" t="n">
        <v>8</v>
      </c>
      <c r="J8" t="n">
        <v>11</v>
      </c>
      <c r="K8" t="n">
        <v>14</v>
      </c>
      <c r="L8" t="n">
        <v>19</v>
      </c>
      <c r="M8" s="138">
        <f>SUM(G8:L8)</f>
        <v/>
      </c>
      <c r="N8" s="4" t="n"/>
      <c r="O8" s="5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5" t="n"/>
      <c r="C9" s="4" t="n"/>
      <c r="D9" s="130" t="n">
        <v>303</v>
      </c>
      <c r="E9" s="139" t="inlineStr">
        <is>
          <t>Cameră Superioară</t>
        </is>
      </c>
      <c r="F9" s="138">
        <f>VLOOKUP(D9,Camere!E:Q,5,0)</f>
        <v/>
      </c>
      <c r="G9" t="n">
        <v>2</v>
      </c>
      <c r="H9" t="n">
        <v>5</v>
      </c>
      <c r="I9" t="n">
        <v>7</v>
      </c>
      <c r="J9" t="n">
        <v>12</v>
      </c>
      <c r="K9" t="n">
        <v>14</v>
      </c>
      <c r="L9" t="n">
        <v>18</v>
      </c>
      <c r="M9" s="138">
        <f>SUM(G9:L9)</f>
        <v/>
      </c>
      <c r="N9" s="4" t="n"/>
      <c r="O9" s="5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  <c r="AP9" s="4" t="n"/>
    </row>
    <row r="10">
      <c r="A10" s="4" t="n"/>
      <c r="B10" s="5" t="n"/>
      <c r="C10" s="4" t="n"/>
      <c r="D10" s="130" t="n">
        <v>305</v>
      </c>
      <c r="E10" s="139" t="inlineStr">
        <is>
          <t>Cameră Superioară</t>
        </is>
      </c>
      <c r="F10" s="138">
        <f>VLOOKUP(D10,Camere!E:Q,5,0)</f>
        <v/>
      </c>
      <c r="G10" t="n">
        <v>4</v>
      </c>
      <c r="H10" t="n">
        <v>6</v>
      </c>
      <c r="I10" t="n">
        <v>8</v>
      </c>
      <c r="J10" t="n">
        <v>11</v>
      </c>
      <c r="K10" t="n">
        <v>15</v>
      </c>
      <c r="L10" t="n">
        <v>19</v>
      </c>
      <c r="M10" s="138">
        <f>SUM(G10:L10)</f>
        <v/>
      </c>
      <c r="N10" s="4" t="n"/>
      <c r="O10" s="5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</row>
    <row r="11">
      <c r="A11" s="4" t="n"/>
      <c r="B11" s="5" t="n"/>
      <c r="C11" s="4" t="n"/>
      <c r="D11" s="130" t="n">
        <v>401</v>
      </c>
      <c r="E11" s="139" t="inlineStr">
        <is>
          <t>Cameră Superioară</t>
        </is>
      </c>
      <c r="F11" s="138">
        <f>VLOOKUP(D11,Camere!E:Q,5,0)</f>
        <v/>
      </c>
      <c r="G11" t="n">
        <v>4</v>
      </c>
      <c r="H11" t="n">
        <v>5</v>
      </c>
      <c r="I11" t="n">
        <v>7</v>
      </c>
      <c r="J11" t="n">
        <v>13</v>
      </c>
      <c r="K11" t="n">
        <v>15</v>
      </c>
      <c r="L11" t="n">
        <v>17</v>
      </c>
      <c r="M11" s="138">
        <f>SUM(G11:L11)</f>
        <v/>
      </c>
      <c r="N11" s="4" t="n"/>
      <c r="O11" s="5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</row>
    <row r="12">
      <c r="A12" s="4" t="n"/>
      <c r="B12" s="5" t="n"/>
      <c r="C12" s="4" t="n"/>
      <c r="D12" s="130" t="n">
        <v>403</v>
      </c>
      <c r="E12" s="139" t="inlineStr">
        <is>
          <t>Cameră Superioară</t>
        </is>
      </c>
      <c r="F12" s="138">
        <f>VLOOKUP(D12,Camere!E:Q,5,0)</f>
        <v/>
      </c>
      <c r="G12" t="n">
        <v>5</v>
      </c>
      <c r="H12" t="n">
        <v>7</v>
      </c>
      <c r="I12" t="n">
        <v>9</v>
      </c>
      <c r="J12" t="n">
        <v>12</v>
      </c>
      <c r="K12" t="n">
        <v>16</v>
      </c>
      <c r="L12" t="n">
        <v>20</v>
      </c>
      <c r="M12" s="138">
        <f>SUM(G12:L12)</f>
        <v/>
      </c>
      <c r="N12" s="4" t="n"/>
      <c r="O12" s="5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  <c r="AL12" s="4" t="n"/>
      <c r="AM12" s="4" t="n"/>
      <c r="AN12" s="4" t="n"/>
      <c r="AO12" s="4" t="n"/>
      <c r="AP12" s="4" t="n"/>
    </row>
    <row r="13">
      <c r="A13" s="4" t="n"/>
      <c r="B13" s="5" t="n"/>
      <c r="C13" s="4" t="n"/>
      <c r="D13" s="130" t="n">
        <v>405</v>
      </c>
      <c r="E13" s="139" t="inlineStr">
        <is>
          <t>Cameră Superioară</t>
        </is>
      </c>
      <c r="F13" s="138">
        <f>VLOOKUP(D13,Camere!E:Q,5,0)</f>
        <v/>
      </c>
      <c r="G13" t="n">
        <v>3</v>
      </c>
      <c r="H13" t="n">
        <v>4</v>
      </c>
      <c r="I13" t="n">
        <v>7</v>
      </c>
      <c r="J13" t="n">
        <v>12</v>
      </c>
      <c r="K13" t="n">
        <v>16</v>
      </c>
      <c r="L13" t="n">
        <v>21</v>
      </c>
      <c r="M13" s="138">
        <f>SUM(G13:L13)</f>
        <v/>
      </c>
      <c r="N13" s="4" t="n"/>
      <c r="O13" s="5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>
      <c r="A14" s="4" t="n"/>
      <c r="B14" s="5" t="n"/>
      <c r="C14" s="4" t="n"/>
      <c r="D14" s="130" t="n">
        <v>501</v>
      </c>
      <c r="E14" s="139" t="inlineStr">
        <is>
          <t>Cameră Superioară</t>
        </is>
      </c>
      <c r="F14" s="138">
        <f>VLOOKUP(D14,Camere!E:Q,5,0)</f>
        <v/>
      </c>
      <c r="G14" t="n">
        <v>4</v>
      </c>
      <c r="H14" t="n">
        <v>8</v>
      </c>
      <c r="I14" t="n">
        <v>8</v>
      </c>
      <c r="J14" t="n">
        <v>11</v>
      </c>
      <c r="K14" t="n">
        <v>15</v>
      </c>
      <c r="L14" t="n">
        <v>21</v>
      </c>
      <c r="M14" s="138">
        <f>SUM(G14:L14)</f>
        <v/>
      </c>
      <c r="N14" s="4" t="n"/>
      <c r="O14" s="5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</row>
    <row r="15">
      <c r="A15" s="4" t="n"/>
      <c r="B15" s="5" t="n"/>
      <c r="C15" s="4" t="n"/>
      <c r="D15" s="130" t="n">
        <v>503</v>
      </c>
      <c r="E15" s="139" t="inlineStr">
        <is>
          <t>Cameră Superioară</t>
        </is>
      </c>
      <c r="F15" s="138">
        <f>VLOOKUP(D15,Camere!E:Q,5,0)</f>
        <v/>
      </c>
      <c r="G15" t="n">
        <v>4</v>
      </c>
      <c r="H15" t="n">
        <v>7</v>
      </c>
      <c r="I15" t="n">
        <v>10</v>
      </c>
      <c r="J15" t="n">
        <v>12</v>
      </c>
      <c r="K15" t="n">
        <v>14</v>
      </c>
      <c r="L15" t="n">
        <v>14</v>
      </c>
      <c r="M15" s="138">
        <f>SUM(G15:L15)</f>
        <v/>
      </c>
      <c r="N15" s="4" t="n"/>
      <c r="O15" s="5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</row>
    <row r="16">
      <c r="A16" s="4" t="n"/>
      <c r="B16" s="5" t="n"/>
      <c r="C16" s="4" t="n"/>
      <c r="D16" s="131" t="n">
        <v>202</v>
      </c>
      <c r="E16" s="126" t="inlineStr">
        <is>
          <t>Cameră Delux</t>
        </is>
      </c>
      <c r="F16" s="127">
        <f>VLOOKUP(D16,Camere!E:Q,5,0)</f>
        <v/>
      </c>
      <c r="G16" t="n">
        <v>5</v>
      </c>
      <c r="H16" t="n">
        <v>6</v>
      </c>
      <c r="I16" t="n">
        <v>7</v>
      </c>
      <c r="J16" t="n">
        <v>14</v>
      </c>
      <c r="K16" t="n">
        <v>17</v>
      </c>
      <c r="L16" t="n">
        <v>13</v>
      </c>
      <c r="M16" s="127">
        <f>SUM(G16:L16)</f>
        <v/>
      </c>
      <c r="N16" s="4" t="n"/>
      <c r="O16" s="5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</row>
    <row r="17">
      <c r="A17" s="4" t="n"/>
      <c r="B17" s="5" t="n"/>
      <c r="C17" s="4" t="n"/>
      <c r="D17" s="131" t="n">
        <v>204</v>
      </c>
      <c r="E17" s="126" t="inlineStr">
        <is>
          <t>Cameră Delux</t>
        </is>
      </c>
      <c r="F17" s="127">
        <f>VLOOKUP(D17,Camere!E:Q,5,0)</f>
        <v/>
      </c>
      <c r="G17" t="n">
        <v>4</v>
      </c>
      <c r="H17" t="n">
        <v>5</v>
      </c>
      <c r="I17" t="n">
        <v>8</v>
      </c>
      <c r="J17" t="n">
        <v>12</v>
      </c>
      <c r="K17" t="n">
        <v>16</v>
      </c>
      <c r="L17" t="n">
        <v>21</v>
      </c>
      <c r="M17" s="127">
        <f>SUM(G17:L17)</f>
        <v/>
      </c>
      <c r="N17" s="4" t="n"/>
      <c r="O17" s="5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</row>
    <row r="18">
      <c r="A18" s="4" t="n"/>
      <c r="B18" s="5" t="n"/>
      <c r="C18" s="4" t="n"/>
      <c r="D18" s="131" t="n">
        <v>206</v>
      </c>
      <c r="E18" s="126" t="inlineStr">
        <is>
          <t>Cameră Delux</t>
        </is>
      </c>
      <c r="F18" s="127">
        <f>VLOOKUP(D18,Camere!E:Q,5,0)</f>
        <v/>
      </c>
      <c r="G18" t="n">
        <v>2</v>
      </c>
      <c r="H18" t="n">
        <v>6</v>
      </c>
      <c r="I18" t="n">
        <v>9</v>
      </c>
      <c r="J18" t="n">
        <v>13</v>
      </c>
      <c r="K18" t="n">
        <v>15</v>
      </c>
      <c r="L18" t="n">
        <v>12</v>
      </c>
      <c r="M18" s="127">
        <f>SUM(G18:L18)</f>
        <v/>
      </c>
      <c r="N18" s="4" t="n"/>
      <c r="O18" s="5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</row>
    <row r="19">
      <c r="A19" s="4" t="n"/>
      <c r="B19" s="5" t="n"/>
      <c r="C19" s="4" t="n"/>
      <c r="D19" s="131" t="n">
        <v>302</v>
      </c>
      <c r="E19" s="126" t="inlineStr">
        <is>
          <t>Cameră Delux</t>
        </is>
      </c>
      <c r="F19" s="127">
        <f>VLOOKUP(D19,Camere!E:Q,5,0)</f>
        <v/>
      </c>
      <c r="G19" t="n">
        <v>3</v>
      </c>
      <c r="H19" t="n">
        <v>5</v>
      </c>
      <c r="I19" t="n">
        <v>8</v>
      </c>
      <c r="J19" t="n">
        <v>14</v>
      </c>
      <c r="K19" t="n">
        <v>16</v>
      </c>
      <c r="L19" t="n">
        <v>14</v>
      </c>
      <c r="M19" s="127">
        <f>SUM(G19:L19)</f>
        <v/>
      </c>
      <c r="N19" s="4" t="n"/>
      <c r="O19" s="5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</row>
    <row r="20">
      <c r="A20" s="4" t="n"/>
      <c r="B20" s="5" t="n"/>
      <c r="C20" s="4" t="n"/>
      <c r="D20" s="131" t="n">
        <v>304</v>
      </c>
      <c r="E20" s="126" t="inlineStr">
        <is>
          <t>Cameră Delux</t>
        </is>
      </c>
      <c r="F20" s="127">
        <f>VLOOKUP(D20,Camere!E:Q,5,0)</f>
        <v/>
      </c>
      <c r="G20" t="n">
        <v>4</v>
      </c>
      <c r="H20" t="n">
        <v>4</v>
      </c>
      <c r="I20" t="n">
        <v>9</v>
      </c>
      <c r="J20" t="n">
        <v>14</v>
      </c>
      <c r="K20" t="n">
        <v>16</v>
      </c>
      <c r="L20" t="n">
        <v>21</v>
      </c>
      <c r="M20" s="127">
        <f>SUM(G20:L20)</f>
        <v/>
      </c>
      <c r="N20" s="4" t="n"/>
      <c r="O20" s="5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</row>
    <row r="21">
      <c r="A21" s="4" t="n"/>
      <c r="B21" s="5" t="n"/>
      <c r="C21" s="4" t="n"/>
      <c r="D21" s="131" t="n">
        <v>306</v>
      </c>
      <c r="E21" s="126" t="inlineStr">
        <is>
          <t>Cameră Delux</t>
        </is>
      </c>
      <c r="F21" s="127">
        <f>VLOOKUP(D21,Camere!E:Q,5,0)</f>
        <v/>
      </c>
      <c r="G21" t="n">
        <v>5</v>
      </c>
      <c r="H21" t="n">
        <v>7</v>
      </c>
      <c r="I21" t="n">
        <v>10</v>
      </c>
      <c r="J21" t="n">
        <v>14</v>
      </c>
      <c r="K21" t="n">
        <v>15</v>
      </c>
      <c r="L21" t="n">
        <v>22</v>
      </c>
      <c r="M21" s="127">
        <f>SUM(G21:L21)</f>
        <v/>
      </c>
      <c r="N21" s="4" t="n"/>
      <c r="O21" s="5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  <c r="AN21" s="4" t="n"/>
      <c r="AO21" s="4" t="n"/>
      <c r="AP21" s="4" t="n"/>
    </row>
    <row r="22">
      <c r="A22" s="4" t="n"/>
      <c r="B22" s="5" t="n"/>
      <c r="C22" s="4" t="n"/>
      <c r="D22" s="131" t="n">
        <v>402</v>
      </c>
      <c r="E22" s="126" t="inlineStr">
        <is>
          <t>Cameră Delux</t>
        </is>
      </c>
      <c r="F22" s="127">
        <f>VLOOKUP(D22,Camere!E:Q,5,0)</f>
        <v/>
      </c>
      <c r="G22" t="n">
        <v>5</v>
      </c>
      <c r="H22" t="n">
        <v>5</v>
      </c>
      <c r="I22" t="n">
        <v>7</v>
      </c>
      <c r="J22" t="n">
        <v>13</v>
      </c>
      <c r="K22" t="n">
        <v>17</v>
      </c>
      <c r="L22" t="n">
        <v>18</v>
      </c>
      <c r="M22" s="127">
        <f>SUM(G22:L22)</f>
        <v/>
      </c>
      <c r="N22" s="4" t="n"/>
      <c r="O22" s="5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</row>
    <row r="23">
      <c r="A23" s="4" t="n"/>
      <c r="B23" s="5" t="n"/>
      <c r="C23" s="4" t="n"/>
      <c r="D23" s="131" t="n">
        <v>404</v>
      </c>
      <c r="E23" s="126" t="inlineStr">
        <is>
          <t>Cameră Delux</t>
        </is>
      </c>
      <c r="F23" s="127">
        <f>VLOOKUP(D23,Camere!E:Q,5,0)</f>
        <v/>
      </c>
      <c r="G23" t="n">
        <v>4</v>
      </c>
      <c r="H23" t="n">
        <v>8</v>
      </c>
      <c r="I23" t="n">
        <v>8</v>
      </c>
      <c r="J23" t="n">
        <v>12</v>
      </c>
      <c r="K23" t="n">
        <v>16</v>
      </c>
      <c r="L23" t="n">
        <v>18</v>
      </c>
      <c r="M23" s="127">
        <f>SUM(G23:L23)</f>
        <v/>
      </c>
      <c r="N23" s="4" t="n"/>
      <c r="O23" s="5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</row>
    <row r="24">
      <c r="A24" s="4" t="n"/>
      <c r="B24" s="5" t="n"/>
      <c r="C24" s="4" t="n"/>
      <c r="D24" s="131" t="n">
        <v>406</v>
      </c>
      <c r="E24" s="126" t="inlineStr">
        <is>
          <t>Cameră Delux</t>
        </is>
      </c>
      <c r="F24" s="127">
        <f>VLOOKUP(D24,Camere!E:Q,5,0)</f>
        <v/>
      </c>
      <c r="G24" t="n">
        <v>5</v>
      </c>
      <c r="H24" t="n">
        <v>5</v>
      </c>
      <c r="I24" t="n">
        <v>7</v>
      </c>
      <c r="J24" t="n">
        <v>12</v>
      </c>
      <c r="K24" t="n">
        <v>15</v>
      </c>
      <c r="L24" t="n">
        <v>19</v>
      </c>
      <c r="M24" s="127">
        <f>SUM(G24:L24)</f>
        <v/>
      </c>
      <c r="N24" s="4" t="n"/>
      <c r="O24" s="5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</row>
    <row r="25">
      <c r="A25" s="4" t="n"/>
      <c r="B25" s="5" t="n"/>
      <c r="C25" s="4" t="n"/>
      <c r="D25" s="131" t="n">
        <v>502</v>
      </c>
      <c r="E25" s="126" t="inlineStr">
        <is>
          <t>Cameră Delux</t>
        </is>
      </c>
      <c r="F25" s="127">
        <f>VLOOKUP(D25,Camere!E:Q,5,0)</f>
        <v/>
      </c>
      <c r="G25" t="n">
        <v>3</v>
      </c>
      <c r="H25" t="n">
        <v>6</v>
      </c>
      <c r="I25" t="n">
        <v>6</v>
      </c>
      <c r="J25" t="n">
        <v>11</v>
      </c>
      <c r="K25" t="n">
        <v>18</v>
      </c>
      <c r="L25" t="n">
        <v>17</v>
      </c>
      <c r="M25" s="127">
        <f>SUM(Table6[[#This Row],[IANUARIE]:[IUNIE]])*Table6[[#This Row],[PREȚ/NOAPTE]]</f>
        <v/>
      </c>
      <c r="N25" s="4" t="n"/>
      <c r="O25" s="5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</row>
    <row r="26">
      <c r="A26" s="4" t="n"/>
      <c r="B26" s="5" t="n"/>
      <c r="C26" s="4" t="n"/>
      <c r="D26" s="131" t="n">
        <v>504</v>
      </c>
      <c r="E26" s="126" t="inlineStr">
        <is>
          <t>Cameră Delux</t>
        </is>
      </c>
      <c r="F26" s="127">
        <f>VLOOKUP(D26,Camere!E:Q,5,0)</f>
        <v/>
      </c>
      <c r="G26" t="n">
        <v>3</v>
      </c>
      <c r="H26" t="n">
        <v>7</v>
      </c>
      <c r="I26" t="n">
        <v>7</v>
      </c>
      <c r="J26" t="n">
        <v>11</v>
      </c>
      <c r="K26" t="n">
        <v>17</v>
      </c>
      <c r="L26" t="n">
        <v>23</v>
      </c>
      <c r="M26" s="127">
        <f>SUM(Table6[[#This Row],[IANUARIE]:[IUNIE]])*Table6[[#This Row],[PREȚ/NOAPTE]]</f>
        <v/>
      </c>
      <c r="N26" s="4" t="n"/>
      <c r="O26" s="5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</row>
    <row r="27">
      <c r="A27" s="4" t="n"/>
      <c r="B27" s="5" t="n"/>
      <c r="C27" s="4" t="n"/>
      <c r="D27" s="132" t="n">
        <v>207</v>
      </c>
      <c r="E27" s="128" t="inlineStr">
        <is>
          <t>Cameră Palais</t>
        </is>
      </c>
      <c r="F27" s="129">
        <f>VLOOKUP(D27,Camere!E:Q,5,0)</f>
        <v/>
      </c>
      <c r="G27" t="n">
        <v>2</v>
      </c>
      <c r="H27" t="n">
        <v>3</v>
      </c>
      <c r="I27" t="n">
        <v>8</v>
      </c>
      <c r="J27" t="n">
        <v>13</v>
      </c>
      <c r="K27" t="n">
        <v>16</v>
      </c>
      <c r="L27" t="n">
        <v>21</v>
      </c>
      <c r="M27" s="129">
        <f>SUM(Table6[[#This Row],[IANUARIE]:[IUNIE]])*Table6[[#This Row],[PREȚ/NOAPTE]]</f>
        <v/>
      </c>
      <c r="N27" s="4" t="n"/>
      <c r="O27" s="5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</row>
    <row r="28">
      <c r="A28" s="4" t="n"/>
      <c r="B28" s="5" t="n"/>
      <c r="C28" s="4" t="n"/>
      <c r="D28" s="132" t="n">
        <v>208</v>
      </c>
      <c r="E28" s="128" t="inlineStr">
        <is>
          <t>Cameră Palais</t>
        </is>
      </c>
      <c r="F28" s="129">
        <f>VLOOKUP(D28,Camere!E:Q,5,0)</f>
        <v/>
      </c>
      <c r="G28" t="n">
        <v>3</v>
      </c>
      <c r="H28" t="n">
        <v>5</v>
      </c>
      <c r="I28" t="n">
        <v>9</v>
      </c>
      <c r="J28" t="n">
        <v>12</v>
      </c>
      <c r="K28" t="n">
        <v>15</v>
      </c>
      <c r="L28" t="n">
        <v>14</v>
      </c>
      <c r="M28" s="129">
        <f>SUM(Table6[[#This Row],[IANUARIE]:[IUNIE]])*Table6[[#This Row],[PREȚ/NOAPTE]]</f>
        <v/>
      </c>
      <c r="N28" s="4" t="n"/>
      <c r="O28" s="5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</row>
    <row r="29">
      <c r="A29" s="4" t="n"/>
      <c r="B29" s="5" t="n"/>
      <c r="C29" s="4" t="n"/>
      <c r="D29" s="132" t="n">
        <v>209</v>
      </c>
      <c r="E29" s="128" t="inlineStr">
        <is>
          <t>Cameră Palais</t>
        </is>
      </c>
      <c r="F29" s="129">
        <f>VLOOKUP(D29,Camere!E:Q,5,0)</f>
        <v/>
      </c>
      <c r="G29" t="n">
        <v>4</v>
      </c>
      <c r="H29" t="n">
        <v>6</v>
      </c>
      <c r="I29" t="n">
        <v>10</v>
      </c>
      <c r="J29" t="n">
        <v>11</v>
      </c>
      <c r="K29" t="n">
        <v>12</v>
      </c>
      <c r="L29" t="n">
        <v>16</v>
      </c>
      <c r="M29" s="129">
        <f>SUM(Table6[[#This Row],[IANUARIE]:[IUNIE]])*Table6[[#This Row],[PREȚ/NOAPTE]]</f>
        <v/>
      </c>
      <c r="N29" s="4" t="n"/>
      <c r="O29" s="5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</row>
    <row r="30">
      <c r="A30" s="4" t="n"/>
      <c r="B30" s="5" t="n"/>
      <c r="C30" s="4" t="n"/>
      <c r="D30" s="132" t="n">
        <v>307</v>
      </c>
      <c r="E30" s="128" t="inlineStr">
        <is>
          <t>Cameră Palais</t>
        </is>
      </c>
      <c r="F30" s="129">
        <f>VLOOKUP(D30,Camere!E:Q,5,0)</f>
        <v/>
      </c>
      <c r="G30" t="n">
        <v>2</v>
      </c>
      <c r="H30" t="n">
        <v>7</v>
      </c>
      <c r="I30" t="n">
        <v>10</v>
      </c>
      <c r="J30" t="n">
        <v>13</v>
      </c>
      <c r="K30" t="n">
        <v>15</v>
      </c>
      <c r="L30" t="n">
        <v>15</v>
      </c>
      <c r="M30" s="129">
        <f>SUM(Table6[[#This Row],[IANUARIE]:[IUNIE]])*Table6[[#This Row],[PREȚ/NOAPTE]]</f>
        <v/>
      </c>
      <c r="N30" s="4" t="n"/>
      <c r="O30" s="5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5" t="n"/>
      <c r="C31" s="4" t="n"/>
      <c r="D31" s="132" t="n">
        <v>308</v>
      </c>
      <c r="E31" s="128" t="inlineStr">
        <is>
          <t>Cameră Palais</t>
        </is>
      </c>
      <c r="F31" s="129">
        <f>VLOOKUP(D31,Camere!E:Q,5,0)</f>
        <v/>
      </c>
      <c r="G31" t="n">
        <v>3</v>
      </c>
      <c r="H31" t="n">
        <v>8</v>
      </c>
      <c r="I31" t="n">
        <v>7</v>
      </c>
      <c r="J31" t="n">
        <v>14</v>
      </c>
      <c r="K31" t="n">
        <v>17</v>
      </c>
      <c r="L31" t="n">
        <v>14</v>
      </c>
      <c r="M31" s="129">
        <f>SUM(Table6[[#This Row],[IANUARIE]:[IUNIE]])*Table6[[#This Row],[PREȚ/NOAPTE]]</f>
        <v/>
      </c>
      <c r="N31" s="4" t="n"/>
      <c r="O31" s="5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</row>
    <row r="32">
      <c r="A32" s="4" t="n"/>
      <c r="B32" s="5" t="n"/>
      <c r="C32" s="4" t="n"/>
      <c r="D32" s="132" t="n">
        <v>309</v>
      </c>
      <c r="E32" s="128" t="inlineStr">
        <is>
          <t>Cameră Palais</t>
        </is>
      </c>
      <c r="F32" s="129">
        <f>VLOOKUP(D32,Camere!E:Q,5,0)</f>
        <v/>
      </c>
      <c r="G32" t="n">
        <v>4</v>
      </c>
      <c r="H32" t="n">
        <v>7</v>
      </c>
      <c r="I32" t="n">
        <v>8</v>
      </c>
      <c r="J32" t="n">
        <v>12</v>
      </c>
      <c r="K32" t="n">
        <v>18</v>
      </c>
      <c r="L32" t="n">
        <v>18</v>
      </c>
      <c r="M32" s="129">
        <f>SUM(Table6[[#This Row],[IANUARIE]:[IUNIE]])*Table6[[#This Row],[PREȚ/NOAPTE]]</f>
        <v/>
      </c>
      <c r="N32" s="4" t="n"/>
      <c r="O32" s="5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</row>
    <row r="33">
      <c r="A33" s="4" t="n"/>
      <c r="B33" s="5" t="n"/>
      <c r="C33" s="4" t="n"/>
      <c r="D33" s="132" t="n">
        <v>407</v>
      </c>
      <c r="E33" s="128" t="inlineStr">
        <is>
          <t>Cameră Palais</t>
        </is>
      </c>
      <c r="F33" s="129">
        <f>VLOOKUP(D33,Camere!E:Q,5,0)</f>
        <v/>
      </c>
      <c r="G33" t="n">
        <v>5</v>
      </c>
      <c r="H33" t="n">
        <v>6</v>
      </c>
      <c r="I33" t="n">
        <v>9</v>
      </c>
      <c r="J33" t="n">
        <v>13</v>
      </c>
      <c r="K33" t="n">
        <v>17</v>
      </c>
      <c r="L33" t="n">
        <v>19</v>
      </c>
      <c r="M33" s="129">
        <f>SUM(Table6[[#This Row],[IANUARIE]:[IUNIE]])*Table6[[#This Row],[PREȚ/NOAPTE]]</f>
        <v/>
      </c>
      <c r="N33" s="4" t="n"/>
      <c r="O33" s="5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</row>
    <row r="34">
      <c r="A34" s="4" t="n"/>
      <c r="B34" s="5" t="n"/>
      <c r="C34" s="4" t="n"/>
      <c r="D34" s="132" t="n">
        <v>408</v>
      </c>
      <c r="E34" s="128" t="inlineStr">
        <is>
          <t>Cameră Palais</t>
        </is>
      </c>
      <c r="F34" s="129">
        <f>VLOOKUP(D34,Camere!E:Q,5,0)</f>
        <v/>
      </c>
      <c r="G34" t="n">
        <v>5</v>
      </c>
      <c r="H34" t="n">
        <v>7</v>
      </c>
      <c r="I34" t="n">
        <v>8</v>
      </c>
      <c r="J34" t="n">
        <v>14</v>
      </c>
      <c r="K34" t="n">
        <v>16</v>
      </c>
      <c r="L34" t="n">
        <v>20</v>
      </c>
      <c r="M34" s="129">
        <f>SUM(Table6[[#This Row],[IANUARIE]:[IUNIE]])*Table6[[#This Row],[PREȚ/NOAPTE]]</f>
        <v/>
      </c>
      <c r="N34" s="4" t="n"/>
      <c r="O34" s="5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</row>
    <row r="35">
      <c r="A35" s="4" t="n"/>
      <c r="B35" s="5" t="n"/>
      <c r="C35" s="4" t="n"/>
      <c r="D35" s="132" t="n">
        <v>409</v>
      </c>
      <c r="E35" s="128" t="inlineStr">
        <is>
          <t>Cameră Palais</t>
        </is>
      </c>
      <c r="F35" s="129">
        <f>VLOOKUP(D35,Camere!E:Q,5,0)</f>
        <v/>
      </c>
      <c r="G35" t="n">
        <v>4</v>
      </c>
      <c r="H35" t="n">
        <v>5</v>
      </c>
      <c r="I35" t="n">
        <v>8</v>
      </c>
      <c r="J35" t="n">
        <v>12</v>
      </c>
      <c r="K35" t="n">
        <v>15</v>
      </c>
      <c r="L35" t="n">
        <v>18</v>
      </c>
      <c r="M35" s="129">
        <f>SUM(Table6[[#This Row],[IANUARIE]:[IUNIE]])*Table6[[#This Row],[PREȚ/NOAPTE]]</f>
        <v/>
      </c>
      <c r="N35" s="4" t="n"/>
      <c r="O35" s="5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5" t="n"/>
      <c r="C36" s="4" t="n"/>
      <c r="D36" s="132" t="n">
        <v>507</v>
      </c>
      <c r="E36" s="128" t="inlineStr">
        <is>
          <t>Cameră Palais</t>
        </is>
      </c>
      <c r="F36" s="129">
        <f>VLOOKUP(D36,Camere!E:Q,5,0)</f>
        <v/>
      </c>
      <c r="G36" t="n">
        <v>4</v>
      </c>
      <c r="H36" t="n">
        <v>6</v>
      </c>
      <c r="I36" t="n">
        <v>8</v>
      </c>
      <c r="J36" t="n">
        <v>14</v>
      </c>
      <c r="K36" t="n">
        <v>14</v>
      </c>
      <c r="L36" t="n">
        <v>19</v>
      </c>
      <c r="M36" s="129">
        <f>SUM(Table6[[#This Row],[IANUARIE]:[IUNIE]])*Table6[[#This Row],[PREȚ/NOAPTE]]</f>
        <v/>
      </c>
      <c r="N36" s="4" t="n"/>
      <c r="O36" s="5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</row>
    <row r="37">
      <c r="A37" s="4" t="n"/>
      <c r="B37" s="5" t="n"/>
      <c r="C37" s="4" t="n"/>
      <c r="D37" s="132" t="n">
        <v>508</v>
      </c>
      <c r="E37" s="128" t="inlineStr">
        <is>
          <t>Cameră Palais</t>
        </is>
      </c>
      <c r="F37" s="129">
        <f>VLOOKUP(D37,Camere!E:Q,5,0)</f>
        <v/>
      </c>
      <c r="G37" t="n">
        <v>3</v>
      </c>
      <c r="H37" t="n">
        <v>5</v>
      </c>
      <c r="I37" t="n">
        <v>7</v>
      </c>
      <c r="J37" t="n">
        <v>12</v>
      </c>
      <c r="K37" t="n">
        <v>16</v>
      </c>
      <c r="L37" t="n">
        <v>16</v>
      </c>
      <c r="M37" s="129">
        <f>SUM(Table6[[#This Row],[IANUARIE]:[IUNIE]])*Table6[[#This Row],[PREȚ/NOAPTE]]</f>
        <v/>
      </c>
      <c r="N37" s="4" t="n"/>
      <c r="O37" s="5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</row>
    <row r="38">
      <c r="A38" s="4" t="n"/>
      <c r="B38" s="5" t="n"/>
      <c r="C38" s="4" t="n"/>
      <c r="D38" s="130" t="n">
        <v>210</v>
      </c>
      <c r="E38" s="139" t="inlineStr">
        <is>
          <t>Suită Superioară</t>
        </is>
      </c>
      <c r="F38" s="138">
        <f>VLOOKUP(D38,Camere!E:Q,5,0)</f>
        <v/>
      </c>
      <c r="G38" t="n">
        <v>5</v>
      </c>
      <c r="H38" t="n">
        <v>6</v>
      </c>
      <c r="I38" t="n">
        <v>8</v>
      </c>
      <c r="J38" t="n">
        <v>13</v>
      </c>
      <c r="K38" t="n">
        <v>16</v>
      </c>
      <c r="L38" t="n">
        <v>25</v>
      </c>
      <c r="M38" s="138">
        <f>SUM(Table6[[#This Row],[IANUARIE]:[IUNIE]])*Table6[[#This Row],[PREȚ/NOAPTE]]</f>
        <v/>
      </c>
      <c r="N38" s="4" t="n"/>
      <c r="O38" s="5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</row>
    <row r="39">
      <c r="A39" s="4" t="n"/>
      <c r="B39" s="5" t="n"/>
      <c r="C39" s="4" t="n"/>
      <c r="D39" s="130" t="n">
        <v>310</v>
      </c>
      <c r="E39" s="139" t="inlineStr">
        <is>
          <t>Suită Superioară</t>
        </is>
      </c>
      <c r="F39" s="138">
        <f>VLOOKUP(D39,Camere!E:Q,5,0)</f>
        <v/>
      </c>
      <c r="G39" t="n">
        <v>4</v>
      </c>
      <c r="H39" t="n">
        <v>5</v>
      </c>
      <c r="I39" t="n">
        <v>9</v>
      </c>
      <c r="J39" t="n">
        <v>13</v>
      </c>
      <c r="K39" t="n">
        <v>15</v>
      </c>
      <c r="L39" t="n">
        <v>24</v>
      </c>
      <c r="M39" s="138">
        <f>SUM(Table6[[#This Row],[IANUARIE]:[IUNIE]])*Table6[[#This Row],[PREȚ/NOAPTE]]</f>
        <v/>
      </c>
      <c r="N39" s="4" t="n"/>
      <c r="O39" s="5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</row>
    <row r="40">
      <c r="A40" s="4" t="n"/>
      <c r="B40" s="5" t="n"/>
      <c r="C40" s="4" t="n"/>
      <c r="D40" s="130" t="n">
        <v>410</v>
      </c>
      <c r="E40" s="139" t="inlineStr">
        <is>
          <t>Suită Superioară</t>
        </is>
      </c>
      <c r="F40" s="138">
        <f>VLOOKUP(D40,Camere!E:Q,5,0)</f>
        <v/>
      </c>
      <c r="G40" t="n">
        <v>4</v>
      </c>
      <c r="H40" t="n">
        <v>4</v>
      </c>
      <c r="I40" t="n">
        <v>7</v>
      </c>
      <c r="J40" t="n">
        <v>14</v>
      </c>
      <c r="K40" t="n">
        <v>17</v>
      </c>
      <c r="L40" t="n">
        <v>17</v>
      </c>
      <c r="M40" s="138">
        <f>SUM(Table6[[#This Row],[IANUARIE]:[IUNIE]])*Table6[[#This Row],[PREȚ/NOAPTE]]</f>
        <v/>
      </c>
      <c r="N40" s="4" t="n"/>
      <c r="O40" s="5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</row>
    <row r="41">
      <c r="A41" s="4" t="n"/>
      <c r="B41" s="5" t="n"/>
      <c r="C41" s="4" t="n"/>
      <c r="D41" s="130" t="n">
        <v>510</v>
      </c>
      <c r="E41" s="139" t="inlineStr">
        <is>
          <t>Suită Superioară</t>
        </is>
      </c>
      <c r="F41" s="138">
        <f>VLOOKUP(D41,Camere!E:Q,5,0)</f>
        <v/>
      </c>
      <c r="G41" t="n">
        <v>3</v>
      </c>
      <c r="H41" t="n">
        <v>5</v>
      </c>
      <c r="I41" t="n">
        <v>6</v>
      </c>
      <c r="J41" t="n">
        <v>13</v>
      </c>
      <c r="K41" t="n">
        <v>16</v>
      </c>
      <c r="L41" t="n">
        <v>17</v>
      </c>
      <c r="M41" s="138">
        <f>SUM(Table6[[#This Row],[IANUARIE]:[IUNIE]])*Table6[[#This Row],[PREȚ/NOAPTE]]</f>
        <v/>
      </c>
      <c r="N41" s="4" t="n"/>
      <c r="O41" s="5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</row>
    <row r="42">
      <c r="A42" s="4" t="n"/>
      <c r="B42" s="5" t="n"/>
      <c r="C42" s="4" t="n"/>
      <c r="D42" s="130" t="n">
        <v>511</v>
      </c>
      <c r="E42" s="139" t="inlineStr">
        <is>
          <t>Suită Superioară</t>
        </is>
      </c>
      <c r="F42" s="138">
        <f>VLOOKUP(D42,Camere!E:Q,5,0)</f>
        <v/>
      </c>
      <c r="G42" t="n">
        <v>3</v>
      </c>
      <c r="H42" t="n">
        <v>6</v>
      </c>
      <c r="I42" t="n">
        <v>7</v>
      </c>
      <c r="J42" t="n">
        <v>14</v>
      </c>
      <c r="K42" t="n">
        <v>15</v>
      </c>
      <c r="L42" t="n">
        <v>18</v>
      </c>
      <c r="M42" s="138">
        <f>SUM(Table6[[#This Row],[IANUARIE]:[IUNIE]])*Table6[[#This Row],[PREȚ/NOAPTE]]</f>
        <v/>
      </c>
      <c r="N42" s="4" t="n"/>
      <c r="O42" s="5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</row>
    <row r="43">
      <c r="A43" s="4" t="n"/>
      <c r="B43" s="5" t="n"/>
      <c r="C43" s="4" t="n"/>
      <c r="D43" s="131" t="n">
        <v>411</v>
      </c>
      <c r="E43" s="126" t="inlineStr">
        <is>
          <t>Suită Delux</t>
        </is>
      </c>
      <c r="F43" s="127">
        <f>VLOOKUP(D43,Camere!E:Q,5,0)</f>
        <v/>
      </c>
      <c r="G43" t="n">
        <v>2</v>
      </c>
      <c r="H43" t="n">
        <v>5</v>
      </c>
      <c r="I43" t="n">
        <v>8</v>
      </c>
      <c r="J43" t="n">
        <v>12</v>
      </c>
      <c r="K43" t="n">
        <v>15</v>
      </c>
      <c r="L43" t="n">
        <v>19</v>
      </c>
      <c r="M43" s="127">
        <f>SUM(Table6[[#This Row],[IANUARIE]:[IUNIE]])*Table6[[#This Row],[PREȚ/NOAPTE]]</f>
        <v/>
      </c>
      <c r="N43" s="4" t="n"/>
      <c r="O43" s="5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</row>
    <row r="44">
      <c r="A44" s="4" t="n"/>
      <c r="B44" s="5" t="n"/>
      <c r="C44" s="4" t="n"/>
      <c r="D44" s="131" t="n">
        <v>412</v>
      </c>
      <c r="E44" s="126" t="inlineStr">
        <is>
          <t>Suită Delux</t>
        </is>
      </c>
      <c r="F44" s="127">
        <f>VLOOKUP(D44,Camere!E:Q,5,0)</f>
        <v/>
      </c>
      <c r="G44" t="n">
        <v>3</v>
      </c>
      <c r="H44" t="n">
        <v>6</v>
      </c>
      <c r="I44" t="n">
        <v>9</v>
      </c>
      <c r="J44" t="n">
        <v>14</v>
      </c>
      <c r="K44" t="n">
        <v>14</v>
      </c>
      <c r="L44" t="n">
        <v>20</v>
      </c>
      <c r="M44" s="127">
        <f>SUM(Table6[[#This Row],[IANUARIE]:[IUNIE]])*Table6[[#This Row],[PREȚ/NOAPTE]]</f>
        <v/>
      </c>
      <c r="N44" s="4" t="n"/>
      <c r="O44" s="5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</row>
    <row r="45">
      <c r="A45" s="4" t="n"/>
      <c r="B45" s="5" t="n"/>
      <c r="C45" s="4" t="n"/>
      <c r="D45" s="131" t="n">
        <v>512</v>
      </c>
      <c r="E45" s="126" t="inlineStr">
        <is>
          <t>Suită Delux</t>
        </is>
      </c>
      <c r="F45" s="127">
        <f>VLOOKUP(D45,Camere!E:Q,5,0)</f>
        <v/>
      </c>
      <c r="G45" t="n">
        <v>4</v>
      </c>
      <c r="H45" t="n">
        <v>7</v>
      </c>
      <c r="I45" t="n">
        <v>8</v>
      </c>
      <c r="J45" t="n">
        <v>12</v>
      </c>
      <c r="K45" t="n">
        <v>13</v>
      </c>
      <c r="L45" t="n">
        <v>19</v>
      </c>
      <c r="M45" s="127">
        <f>SUM(Table6[[#This Row],[IANUARIE]:[IUNIE]])*Table6[[#This Row],[PREȚ/NOAPTE]]</f>
        <v/>
      </c>
      <c r="N45" s="4" t="n"/>
      <c r="O45" s="5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  <c r="AN45" s="4" t="n"/>
      <c r="AO45" s="4" t="n"/>
      <c r="AP45" s="4" t="n"/>
    </row>
    <row r="46">
      <c r="A46" s="4" t="n"/>
      <c r="B46" s="5" t="n"/>
      <c r="C46" s="4" t="n"/>
      <c r="D46" s="131" t="n">
        <v>513</v>
      </c>
      <c r="E46" s="126" t="inlineStr">
        <is>
          <t>Suită Delux</t>
        </is>
      </c>
      <c r="F46" s="127">
        <f>VLOOKUP(D46,Camere!E:Q,5,0)</f>
        <v/>
      </c>
      <c r="G46" t="n">
        <v>3</v>
      </c>
      <c r="H46" t="n">
        <v>7</v>
      </c>
      <c r="I46" t="n">
        <v>7</v>
      </c>
      <c r="J46" t="n">
        <v>13</v>
      </c>
      <c r="K46" t="n">
        <v>16</v>
      </c>
      <c r="L46" t="n">
        <v>18</v>
      </c>
      <c r="M46" s="127">
        <f>SUM(Table6[[#This Row],[IANUARIE]:[IUNIE]])*Table6[[#This Row],[PREȚ/NOAPTE]]</f>
        <v/>
      </c>
      <c r="N46" s="4" t="n"/>
      <c r="O46" s="5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  <c r="AL46" s="4" t="n"/>
      <c r="AM46" s="4" t="n"/>
      <c r="AN46" s="4" t="n"/>
      <c r="AO46" s="4" t="n"/>
      <c r="AP46" s="4" t="n"/>
    </row>
    <row r="47">
      <c r="A47" s="4" t="n"/>
      <c r="B47" s="5" t="n"/>
      <c r="C47" s="4" t="n"/>
      <c r="D47" s="131" t="n">
        <v>104</v>
      </c>
      <c r="E47" s="126" t="inlineStr">
        <is>
          <t>Suită Delux</t>
        </is>
      </c>
      <c r="F47" s="127">
        <f>VLOOKUP(D47,Camere!E:Q,5,0)</f>
        <v/>
      </c>
      <c r="G47" t="n">
        <v>2</v>
      </c>
      <c r="H47" t="n">
        <v>6</v>
      </c>
      <c r="I47" t="n">
        <v>8</v>
      </c>
      <c r="J47" t="n">
        <v>14</v>
      </c>
      <c r="K47" t="n">
        <v>16</v>
      </c>
      <c r="L47" t="n">
        <v>16</v>
      </c>
      <c r="M47" s="127">
        <f>SUM(Table6[[#This Row],[IANUARIE]:[IUNIE]])*Table6[[#This Row],[PREȚ/NOAPTE]]</f>
        <v/>
      </c>
      <c r="N47" s="4" t="n"/>
      <c r="O47" s="5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</row>
    <row r="48">
      <c r="A48" s="4" t="n"/>
      <c r="B48" s="5" t="n"/>
      <c r="C48" s="4" t="n"/>
      <c r="D48" s="132" t="n">
        <v>101</v>
      </c>
      <c r="E48" s="128" t="inlineStr">
        <is>
          <t>Suită Palais</t>
        </is>
      </c>
      <c r="F48" s="129">
        <f>VLOOKUP(D48,Camere!E:Q,5,0)</f>
        <v/>
      </c>
      <c r="G48" t="n">
        <v>2</v>
      </c>
      <c r="H48" t="n">
        <v>6</v>
      </c>
      <c r="I48" t="n">
        <v>7</v>
      </c>
      <c r="J48" t="n">
        <v>11</v>
      </c>
      <c r="K48" t="n">
        <v>15</v>
      </c>
      <c r="L48" t="n">
        <v>19</v>
      </c>
      <c r="M48" s="129">
        <f>SUM(Table6[[#This Row],[IANUARIE]:[IUNIE]])*Table6[[#This Row],[PREȚ/NOAPTE]]</f>
        <v/>
      </c>
      <c r="N48" s="4" t="n"/>
      <c r="O48" s="5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  <c r="AL48" s="4" t="n"/>
      <c r="AM48" s="4" t="n"/>
      <c r="AN48" s="4" t="n"/>
      <c r="AO48" s="4" t="n"/>
      <c r="AP48" s="4" t="n"/>
    </row>
    <row r="49">
      <c r="A49" s="4" t="n"/>
      <c r="B49" s="5" t="n"/>
      <c r="C49" s="4" t="n"/>
      <c r="D49" s="132" t="n">
        <v>102</v>
      </c>
      <c r="E49" s="128" t="inlineStr">
        <is>
          <t>Suită Palais</t>
        </is>
      </c>
      <c r="F49" s="129">
        <f>VLOOKUP(D49,Camere!E:Q,5,0)</f>
        <v/>
      </c>
      <c r="G49" t="n">
        <v>2</v>
      </c>
      <c r="H49" t="n">
        <v>5</v>
      </c>
      <c r="I49" t="n">
        <v>9</v>
      </c>
      <c r="J49" t="n">
        <v>11</v>
      </c>
      <c r="K49" t="n">
        <v>11</v>
      </c>
      <c r="L49" t="n">
        <v>18</v>
      </c>
      <c r="M49" s="129">
        <f>SUM(Table6[[#This Row],[IANUARIE]:[IUNIE]])*Table6[[#This Row],[PREȚ/NOAPTE]]</f>
        <v/>
      </c>
      <c r="N49" s="4" t="n"/>
      <c r="O49" s="5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</row>
    <row r="50">
      <c r="A50" s="4" t="n"/>
      <c r="B50" s="5" t="n"/>
      <c r="C50" s="4" t="n"/>
      <c r="D50" s="132" t="n">
        <v>601</v>
      </c>
      <c r="E50" s="128" t="inlineStr">
        <is>
          <t>Suită Palais</t>
        </is>
      </c>
      <c r="F50" s="129">
        <f>VLOOKUP(D50,Camere!E:Q,5,0)</f>
        <v/>
      </c>
      <c r="G50" t="n">
        <v>2</v>
      </c>
      <c r="H50" t="n">
        <v>5</v>
      </c>
      <c r="I50" t="n">
        <v>7</v>
      </c>
      <c r="J50" t="n">
        <v>12</v>
      </c>
      <c r="K50" t="n">
        <v>13</v>
      </c>
      <c r="L50" t="n">
        <v>17</v>
      </c>
      <c r="M50" s="129">
        <f>SUM(Table6[[#This Row],[IANUARIE]:[IUNIE]])*Table6[[#This Row],[PREȚ/NOAPTE]]</f>
        <v/>
      </c>
      <c r="N50" s="4" t="n"/>
      <c r="O50" s="5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  <c r="AL50" s="4" t="n"/>
      <c r="AM50" s="4" t="n"/>
      <c r="AN50" s="4" t="n"/>
      <c r="AO50" s="4" t="n"/>
      <c r="AP50" s="4" t="n"/>
    </row>
    <row r="51">
      <c r="A51" s="4" t="n"/>
      <c r="B51" s="5" t="n"/>
      <c r="C51" s="4" t="n"/>
      <c r="D51" s="132" t="n">
        <v>602</v>
      </c>
      <c r="E51" s="128" t="inlineStr">
        <is>
          <t>Suită Palais</t>
        </is>
      </c>
      <c r="F51" s="129">
        <f>VLOOKUP(D51,Camere!E:Q,5,0)</f>
        <v/>
      </c>
      <c r="G51" t="n">
        <v>2</v>
      </c>
      <c r="H51" t="n">
        <v>6</v>
      </c>
      <c r="I51" t="n">
        <v>7</v>
      </c>
      <c r="J51" t="n">
        <v>14</v>
      </c>
      <c r="K51" t="n">
        <v>12</v>
      </c>
      <c r="L51" t="n">
        <v>19</v>
      </c>
      <c r="M51" s="129">
        <f>SUM(Table6[[#This Row],[IANUARIE]:[IUNIE]])*Table6[[#This Row],[PREȚ/NOAPTE]]</f>
        <v/>
      </c>
      <c r="N51" s="4" t="n"/>
      <c r="O51" s="5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L51" s="4" t="n"/>
      <c r="AM51" s="4" t="n"/>
      <c r="AN51" s="4" t="n"/>
      <c r="AO51" s="4" t="n"/>
      <c r="AP51" s="4" t="n"/>
    </row>
    <row r="52">
      <c r="A52" s="4" t="n"/>
      <c r="B52" s="5" t="n"/>
      <c r="C52" s="4" t="n"/>
      <c r="D52" s="132" t="n">
        <v>603</v>
      </c>
      <c r="E52" s="128" t="inlineStr">
        <is>
          <t>Suită Palais</t>
        </is>
      </c>
      <c r="F52" s="129">
        <f>VLOOKUP(D52,Camere!E:Q,5,0)</f>
        <v/>
      </c>
      <c r="G52" t="n">
        <v>2</v>
      </c>
      <c r="H52" t="n">
        <v>5</v>
      </c>
      <c r="I52" t="n">
        <v>7</v>
      </c>
      <c r="J52" t="n">
        <v>12</v>
      </c>
      <c r="K52" t="n">
        <v>12</v>
      </c>
      <c r="L52" t="n">
        <v>17</v>
      </c>
      <c r="M52" s="129">
        <f>SUM(Table6[[#This Row],[IANUARIE]:[IUNIE]])*Table6[[#This Row],[PREȚ/NOAPTE]]</f>
        <v/>
      </c>
      <c r="N52" s="4" t="n"/>
      <c r="O52" s="5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</row>
    <row r="53">
      <c r="A53" s="4" t="n"/>
      <c r="B53" s="5" t="n"/>
      <c r="C53" s="4" t="n"/>
      <c r="D53" s="130" t="n">
        <v>1</v>
      </c>
      <c r="E53" s="139" t="inlineStr">
        <is>
          <t>Villa</t>
        </is>
      </c>
      <c r="F53" s="138">
        <f>VLOOKUP(D53,Camere!E:Q,5,0)</f>
        <v/>
      </c>
      <c r="G53" t="n">
        <v>1</v>
      </c>
      <c r="H53" t="n">
        <v>1</v>
      </c>
      <c r="I53" t="n">
        <v>2</v>
      </c>
      <c r="J53" t="n">
        <v>3</v>
      </c>
      <c r="K53" t="n">
        <v>4</v>
      </c>
      <c r="L53" t="n">
        <v>5</v>
      </c>
      <c r="M53" s="138">
        <f>SUM(Table6[[#This Row],[IANUARIE]:[IUNIE]])*Table6[[#This Row],[PREȚ/NOAPTE]]</f>
        <v/>
      </c>
      <c r="N53" s="4" t="n"/>
      <c r="O53" s="5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</row>
    <row r="54">
      <c r="A54" s="4" t="n"/>
      <c r="B54" s="5" t="n"/>
      <c r="C54" s="4" t="n"/>
      <c r="D54" s="130" t="n">
        <v>2</v>
      </c>
      <c r="E54" s="139" t="inlineStr">
        <is>
          <t>Villa</t>
        </is>
      </c>
      <c r="F54" s="138">
        <f>VLOOKUP(D54,Camere!E:Q,5,0)</f>
        <v/>
      </c>
      <c r="G54" t="n">
        <v>0</v>
      </c>
      <c r="H54" t="n">
        <v>1</v>
      </c>
      <c r="I54" t="n">
        <v>1</v>
      </c>
      <c r="J54" t="n">
        <v>4</v>
      </c>
      <c r="K54" t="n">
        <v>6</v>
      </c>
      <c r="L54" t="n">
        <v>7</v>
      </c>
      <c r="M54" s="138">
        <f>SUM(Table6[[#This Row],[IANUARIE]:[IUNIE]])*Table6[[#This Row],[PREȚ/NOAPTE]]</f>
        <v/>
      </c>
      <c r="N54" s="4" t="n"/>
      <c r="O54" s="5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</row>
    <row r="55">
      <c r="A55" s="4" t="n"/>
      <c r="B55" s="5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5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</row>
    <row r="56">
      <c r="A56" s="4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O56" s="4" t="n"/>
      <c r="AP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  <c r="AM59" s="4" t="n"/>
      <c r="AN59" s="4" t="n"/>
      <c r="AO59" s="4" t="n"/>
      <c r="AP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  <c r="AL62" s="4" t="n"/>
      <c r="AM62" s="4" t="n"/>
      <c r="AN62" s="4" t="n"/>
      <c r="AO62" s="4" t="n"/>
      <c r="AP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n"/>
      <c r="AN70" s="4" t="n"/>
      <c r="AO70" s="4" t="n"/>
      <c r="AP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  <c r="AM72" s="4" t="n"/>
      <c r="AN72" s="4" t="n"/>
      <c r="AO72" s="4" t="n"/>
      <c r="AP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  <c r="AL75" s="4" t="n"/>
      <c r="AM75" s="4" t="n"/>
      <c r="AN75" s="4" t="n"/>
      <c r="AO75" s="4" t="n"/>
      <c r="AP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  <c r="AL78" s="4" t="n"/>
      <c r="AM78" s="4" t="n"/>
      <c r="AN78" s="4" t="n"/>
      <c r="AO78" s="4" t="n"/>
      <c r="AP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  <c r="AM79" s="4" t="n"/>
      <c r="AN79" s="4" t="n"/>
      <c r="AO79" s="4" t="n"/>
      <c r="AP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</row>
    <row r="81"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  <c r="AM81" s="4" t="n"/>
      <c r="AN81" s="4" t="n"/>
      <c r="AO81" s="4" t="n"/>
      <c r="AP81" s="4" t="n"/>
    </row>
    <row r="82"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</row>
    <row r="83"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  <c r="AM83" s="4" t="n"/>
      <c r="AN83" s="4" t="n"/>
      <c r="AO83" s="4" t="n"/>
      <c r="AP83" s="4" t="n"/>
    </row>
    <row r="84"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</row>
    <row r="85">
      <c r="P85" s="4" t="n"/>
    </row>
    <row r="86">
      <c r="P86" s="4" t="n"/>
    </row>
    <row r="87">
      <c r="P87" s="4" t="n"/>
    </row>
    <row r="88">
      <c r="P88" s="4" t="n"/>
    </row>
    <row r="89">
      <c r="P89" s="4" t="n"/>
    </row>
    <row r="90">
      <c r="P90" s="4" t="n"/>
    </row>
    <row r="91">
      <c r="P91" s="4" t="n"/>
    </row>
    <row r="92">
      <c r="P92" s="4" t="n"/>
    </row>
    <row r="93">
      <c r="P93" s="4" t="n"/>
    </row>
    <row r="94">
      <c r="P94" s="4" t="n"/>
    </row>
    <row r="95">
      <c r="P95" s="4" t="n"/>
    </row>
    <row r="96">
      <c r="P96" s="4" t="n"/>
    </row>
    <row r="97">
      <c r="P97" s="4" t="n"/>
    </row>
    <row r="98">
      <c r="P98" s="4" t="n"/>
    </row>
    <row r="99">
      <c r="P99" s="4" t="n"/>
    </row>
    <row r="100">
      <c r="P100" s="4" t="n"/>
    </row>
    <row r="101">
      <c r="P101" s="4" t="n"/>
    </row>
    <row r="102">
      <c r="P102" s="4" t="n"/>
    </row>
    <row r="103">
      <c r="P103" s="4" t="n"/>
    </row>
    <row r="104">
      <c r="P104" s="4" t="n"/>
    </row>
    <row r="105">
      <c r="P105" s="4" t="n"/>
    </row>
    <row r="106">
      <c r="P106" s="4" t="n"/>
    </row>
    <row r="107">
      <c r="P107" s="4" t="n"/>
    </row>
  </sheetData>
  <conditionalFormatting sqref="G5:G54">
    <cfRule type="cellIs" priority="10" operator="equal" dxfId="13">
      <formula>3</formula>
    </cfRule>
    <cfRule type="cellIs" priority="11" operator="lessThan" dxfId="12">
      <formula>3</formula>
    </cfRule>
    <cfRule type="cellIs" priority="19" operator="lessThan" dxfId="12">
      <formula>1</formula>
    </cfRule>
    <cfRule type="cellIs" priority="24" operator="greaterThan" dxfId="14">
      <formula>3</formula>
    </cfRule>
  </conditionalFormatting>
  <conditionalFormatting sqref="H5:H54">
    <cfRule type="cellIs" priority="12" operator="greaterThan" dxfId="14">
      <formula>6</formula>
    </cfRule>
    <cfRule type="cellIs" priority="13" operator="equal" dxfId="13">
      <formula>6</formula>
    </cfRule>
    <cfRule type="cellIs" priority="14" operator="lessThan" dxfId="12">
      <formula>6</formula>
    </cfRule>
    <cfRule type="cellIs" priority="15" operator="lessThan" dxfId="12">
      <formula>5</formula>
    </cfRule>
    <cfRule type="cellIs" priority="20" operator="lessThan" dxfId="12">
      <formula>3</formula>
    </cfRule>
    <cfRule type="cellIs" priority="21" operator="between" dxfId="13">
      <formula>3</formula>
      <formula>6</formula>
    </cfRule>
    <cfRule type="cellIs" priority="22" operator="greaterThan" dxfId="14">
      <formula>6</formula>
    </cfRule>
    <cfRule type="cellIs" priority="23" operator="greaterThan" dxfId="12">
      <formula>5</formula>
    </cfRule>
  </conditionalFormatting>
  <conditionalFormatting sqref="I5:I54">
    <cfRule type="cellIs" priority="16" operator="greaterThan" dxfId="14">
      <formula>8</formula>
    </cfRule>
    <cfRule type="cellIs" priority="17" operator="equal" dxfId="13">
      <formula>8</formula>
    </cfRule>
    <cfRule type="cellIs" priority="18" operator="lessThan" dxfId="12">
      <formula>8</formula>
    </cfRule>
  </conditionalFormatting>
  <conditionalFormatting sqref="J5:J54">
    <cfRule type="cellIs" priority="7" operator="greaterThan" dxfId="14">
      <formula>12</formula>
    </cfRule>
    <cfRule type="cellIs" priority="8" operator="equal" dxfId="13">
      <formula>12</formula>
    </cfRule>
    <cfRule type="cellIs" priority="9" operator="lessThan" dxfId="12">
      <formula>12</formula>
    </cfRule>
  </conditionalFormatting>
  <conditionalFormatting sqref="K5:K54">
    <cfRule type="cellIs" priority="4" operator="greaterThan" dxfId="14">
      <formula>13</formula>
    </cfRule>
    <cfRule type="cellIs" priority="5" operator="equal" dxfId="13">
      <formula>13</formula>
    </cfRule>
    <cfRule type="cellIs" priority="6" operator="lessThan" dxfId="12">
      <formula>13</formula>
    </cfRule>
  </conditionalFormatting>
  <conditionalFormatting sqref="L5:L54">
    <cfRule type="cellIs" priority="1" operator="greaterThan" dxfId="14">
      <formula>14</formula>
    </cfRule>
    <cfRule type="cellIs" priority="2" operator="equal" dxfId="13">
      <formula>14</formula>
    </cfRule>
    <cfRule type="cellIs" priority="3" operator="lessThan" dxfId="12">
      <formula>14</formula>
    </cfRule>
  </conditionalFormatting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T98"/>
  <sheetViews>
    <sheetView zoomScaleNormal="100" workbookViewId="0">
      <selection activeCell="L44" sqref="L44"/>
    </sheetView>
  </sheetViews>
  <sheetFormatPr baseColWidth="10" defaultRowHeight="16"/>
  <cols>
    <col width="3.1640625" customWidth="1" style="3" min="1" max="1"/>
    <col width="3" customWidth="1" style="3" min="2" max="2"/>
    <col width="3.33203125" customWidth="1" style="3" min="3" max="3"/>
    <col width="16.83203125" bestFit="1" customWidth="1" style="3" min="4" max="4"/>
    <col width="18" bestFit="1" customWidth="1" style="3" min="5" max="5"/>
    <col width="14.1640625" bestFit="1" customWidth="1" style="3" min="6" max="6"/>
    <col width="15.83203125" bestFit="1" customWidth="1" style="3" min="7" max="7"/>
    <col width="13.5" bestFit="1" customWidth="1" style="3" min="8" max="8"/>
    <col width="13.33203125" bestFit="1" customWidth="1" style="3" min="9" max="9"/>
    <col width="10.6640625" bestFit="1" customWidth="1" style="3" min="10" max="10"/>
    <col width="11.5" bestFit="1" customWidth="1" style="3" min="11" max="11"/>
    <col width="11.6640625" bestFit="1" customWidth="1" style="3" min="12" max="12"/>
    <col width="3.33203125" customWidth="1" style="3" min="13" max="13"/>
    <col width="3.1640625" customWidth="1" style="3" min="14" max="14"/>
    <col width="16.83203125" bestFit="1" customWidth="1" style="3" min="66" max="66"/>
    <col width="14.1640625" bestFit="1" customWidth="1" style="3" min="67" max="67"/>
    <col width="15.83203125" bestFit="1" customWidth="1" style="3" min="68" max="68"/>
    <col width="13.5" bestFit="1" customWidth="1" style="3" min="69" max="69"/>
    <col width="13.33203125" bestFit="1" customWidth="1" style="3" min="70" max="70"/>
    <col width="10.6640625" bestFit="1" customWidth="1" style="3" min="71" max="71"/>
    <col width="11.5" bestFit="1" customWidth="1" style="3" min="72" max="72"/>
    <col width="11.6640625" bestFit="1" customWidth="1" style="3" min="73" max="73"/>
  </cols>
  <sheetData>
    <row r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</row>
    <row r="2">
      <c r="A2" s="4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</row>
    <row r="3">
      <c r="A3" s="4" t="n"/>
      <c r="B3" s="5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5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4" t="n"/>
      <c r="B4" s="5" t="n"/>
      <c r="C4" s="4" t="n"/>
      <c r="D4" s="230" t="inlineStr">
        <is>
          <t>TIP VEHICUL</t>
        </is>
      </c>
      <c r="E4" s="136" t="inlineStr">
        <is>
          <t>Sum of Preț/Noapte</t>
        </is>
      </c>
      <c r="F4" s="136" t="inlineStr">
        <is>
          <t>Sum of Ianuarie</t>
        </is>
      </c>
      <c r="G4" s="136" t="inlineStr">
        <is>
          <t xml:space="preserve">Sum of Februarie </t>
        </is>
      </c>
      <c r="H4" s="136" t="inlineStr">
        <is>
          <t xml:space="preserve">Sum of Martie </t>
        </is>
      </c>
      <c r="I4" s="136" t="inlineStr">
        <is>
          <t xml:space="preserve">Sum of Aprilie </t>
        </is>
      </c>
      <c r="J4" s="136" t="inlineStr">
        <is>
          <t>Sum of Mai</t>
        </is>
      </c>
      <c r="K4" s="136" t="inlineStr">
        <is>
          <t>Sum of Iunie</t>
        </is>
      </c>
      <c r="L4" s="136" t="inlineStr">
        <is>
          <t>Sum of Total</t>
        </is>
      </c>
      <c r="M4" s="4" t="n"/>
      <c r="N4" s="5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</row>
    <row r="5">
      <c r="A5" s="4" t="n"/>
      <c r="B5" s="5" t="n"/>
      <c r="C5" s="4" t="n"/>
      <c r="D5" s="137" t="inlineStr">
        <is>
          <t>Cameră Delux</t>
        </is>
      </c>
      <c r="E5" s="138" t="n">
        <v>5220</v>
      </c>
      <c r="F5" s="139" t="n">
        <v>43</v>
      </c>
      <c r="G5" s="139" t="n">
        <v>64</v>
      </c>
      <c r="H5" s="139" t="n">
        <v>86</v>
      </c>
      <c r="I5" s="139" t="n">
        <v>140</v>
      </c>
      <c r="J5" s="139" t="n">
        <v>178</v>
      </c>
      <c r="K5" s="139" t="n">
        <v>198</v>
      </c>
      <c r="L5" s="138" t="n">
        <v>336545</v>
      </c>
      <c r="M5" s="4" t="n"/>
      <c r="N5" s="5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4" t="n"/>
      <c r="B6" s="5" t="n"/>
      <c r="C6" s="4" t="n"/>
      <c r="D6" s="137" t="inlineStr">
        <is>
          <t>Cameră Palais</t>
        </is>
      </c>
      <c r="E6" s="138" t="n">
        <v>7580</v>
      </c>
      <c r="F6" s="139" t="n">
        <v>39</v>
      </c>
      <c r="G6" s="139" t="n">
        <v>65</v>
      </c>
      <c r="H6" s="139" t="n">
        <v>92</v>
      </c>
      <c r="I6" s="139" t="n">
        <v>140</v>
      </c>
      <c r="J6" s="139" t="n">
        <v>171</v>
      </c>
      <c r="K6" s="139" t="n">
        <v>190</v>
      </c>
      <c r="L6" s="138" t="n">
        <v>480295</v>
      </c>
      <c r="M6" s="4" t="n"/>
      <c r="N6" s="5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</row>
    <row r="7">
      <c r="A7" s="4" t="n"/>
      <c r="B7" s="5" t="n"/>
      <c r="C7" s="4" t="n"/>
      <c r="D7" s="137" t="inlineStr">
        <is>
          <t>Cameră Superioară</t>
        </is>
      </c>
      <c r="E7" s="138" t="n">
        <v>2800</v>
      </c>
      <c r="F7" s="139" t="n">
        <v>43</v>
      </c>
      <c r="G7" s="139" t="n">
        <v>66</v>
      </c>
      <c r="H7" s="139" t="n">
        <v>90</v>
      </c>
      <c r="I7" s="139" t="n">
        <v>131</v>
      </c>
      <c r="J7" s="139" t="n">
        <v>161</v>
      </c>
      <c r="K7" s="139" t="n">
        <v>209</v>
      </c>
      <c r="L7" s="138" t="n">
        <v>177975</v>
      </c>
      <c r="M7" s="4" t="n"/>
      <c r="N7" s="5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4" t="n"/>
      <c r="B8" s="5" t="n"/>
      <c r="C8" s="4" t="n"/>
      <c r="D8" s="137" t="inlineStr">
        <is>
          <t>Suită Delux</t>
        </is>
      </c>
      <c r="E8" s="138" t="n">
        <v>5500</v>
      </c>
      <c r="F8" s="139" t="n">
        <v>14</v>
      </c>
      <c r="G8" s="139" t="n">
        <v>31</v>
      </c>
      <c r="H8" s="139" t="n">
        <v>40</v>
      </c>
      <c r="I8" s="139" t="n">
        <v>65</v>
      </c>
      <c r="J8" s="139" t="n">
        <v>74</v>
      </c>
      <c r="K8" s="139" t="n">
        <v>92</v>
      </c>
      <c r="L8" s="138" t="n">
        <v>347600</v>
      </c>
      <c r="M8" s="4" t="n"/>
      <c r="N8" s="5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</row>
    <row r="9">
      <c r="A9" s="4" t="n"/>
      <c r="B9" s="5" t="n"/>
      <c r="C9" s="4" t="n"/>
      <c r="D9" s="137" t="inlineStr">
        <is>
          <t>Suită Palais</t>
        </is>
      </c>
      <c r="E9" s="138" t="n">
        <v>8225</v>
      </c>
      <c r="F9" s="139" t="n">
        <v>10</v>
      </c>
      <c r="G9" s="139" t="n">
        <v>27</v>
      </c>
      <c r="H9" s="139" t="n">
        <v>37</v>
      </c>
      <c r="I9" s="139" t="n">
        <v>60</v>
      </c>
      <c r="J9" s="139" t="n">
        <v>63</v>
      </c>
      <c r="K9" s="139" t="n">
        <v>90</v>
      </c>
      <c r="L9" s="138" t="n">
        <v>472115</v>
      </c>
      <c r="M9" s="4" t="n"/>
      <c r="N9" s="5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4" t="n"/>
      <c r="B10" s="5" t="n"/>
      <c r="C10" s="4" t="n"/>
      <c r="D10" s="137" t="inlineStr">
        <is>
          <t>Suită Superioară</t>
        </is>
      </c>
      <c r="E10" s="138" t="n">
        <v>4525</v>
      </c>
      <c r="F10" s="139" t="n">
        <v>19</v>
      </c>
      <c r="G10" s="139" t="n">
        <v>26</v>
      </c>
      <c r="H10" s="139" t="n">
        <v>37</v>
      </c>
      <c r="I10" s="139" t="n">
        <v>67</v>
      </c>
      <c r="J10" s="139" t="n">
        <v>79</v>
      </c>
      <c r="K10" s="139" t="n">
        <v>101</v>
      </c>
      <c r="L10" s="138" t="n">
        <v>296605</v>
      </c>
      <c r="M10" s="4" t="n"/>
      <c r="N10" s="5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</row>
    <row r="11">
      <c r="A11" s="4" t="n"/>
      <c r="B11" s="5" t="n"/>
      <c r="C11" s="4" t="n"/>
      <c r="D11" s="137" t="inlineStr">
        <is>
          <t>Villa</t>
        </is>
      </c>
      <c r="E11" s="138" t="n">
        <v>13090</v>
      </c>
      <c r="F11" s="139" t="n">
        <v>1</v>
      </c>
      <c r="G11" s="139" t="n">
        <v>2</v>
      </c>
      <c r="H11" s="139" t="n">
        <v>3</v>
      </c>
      <c r="I11" s="139" t="n">
        <v>7</v>
      </c>
      <c r="J11" s="139" t="n">
        <v>10</v>
      </c>
      <c r="K11" s="139" t="n">
        <v>12</v>
      </c>
      <c r="L11" s="138" t="n">
        <v>229075</v>
      </c>
      <c r="M11" s="4" t="n"/>
      <c r="N11" s="5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4" t="n"/>
      <c r="B12" s="5" t="n"/>
      <c r="C12" s="4" t="n"/>
      <c r="D12" s="134" t="inlineStr">
        <is>
          <t>Grand Total</t>
        </is>
      </c>
      <c r="E12" s="135" t="n">
        <v>46940</v>
      </c>
      <c r="F12" s="136" t="n">
        <v>169</v>
      </c>
      <c r="G12" s="136" t="n">
        <v>281</v>
      </c>
      <c r="H12" s="136" t="n">
        <v>385</v>
      </c>
      <c r="I12" s="136" t="n">
        <v>610</v>
      </c>
      <c r="J12" s="136" t="n">
        <v>736</v>
      </c>
      <c r="K12" s="136" t="n">
        <v>892</v>
      </c>
      <c r="L12" s="135" t="n">
        <v>2340210</v>
      </c>
      <c r="M12" s="4" t="n"/>
      <c r="N12" s="5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</row>
    <row r="13">
      <c r="A13" s="4" t="n"/>
      <c r="B13" s="5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5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4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 ht="17" customHeight="1" s="3" thickBot="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</row>
    <row r="41" ht="18" customHeight="1" s="3" thickBot="1" thickTop="1">
      <c r="A41" s="4" t="n"/>
      <c r="B41" s="4" t="n"/>
      <c r="C41" s="4" t="n"/>
      <c r="D41" s="213">
        <f>HLOOKUP(D5,D5:L11,5,0)</f>
        <v/>
      </c>
      <c r="E41" s="213">
        <f>HLOOKUP(E5,E5:M11,5,0)</f>
        <v/>
      </c>
      <c r="F41" s="213">
        <f>HLOOKUP(F5,F5:N11,5,0)</f>
        <v/>
      </c>
      <c r="G41" s="213">
        <f>HLOOKUP(G5,G5:O11,5,0)</f>
        <v/>
      </c>
      <c r="H41" s="213">
        <f>HLOOKUP(H5,H5:P11,5,0)</f>
        <v/>
      </c>
      <c r="I41" s="213">
        <f>HLOOKUP(I5,I5:Q11,5,0)</f>
        <v/>
      </c>
      <c r="J41" s="213">
        <f>HLOOKUP(J5,J5:R11,5,0)</f>
        <v/>
      </c>
      <c r="K41" s="213">
        <f>HLOOKUP(K5,K5:S11,5,0)</f>
        <v/>
      </c>
      <c r="L41" s="213">
        <f>HLOOKUP(L5,L5:T11,5,0)</f>
        <v/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 ht="18" customHeight="1" s="3" thickBot="1" thickTop="1">
      <c r="A42" s="4" t="n"/>
      <c r="B42" s="4" t="n"/>
      <c r="C42" s="4" t="n"/>
      <c r="D42" s="213">
        <f>HLOOKUP(D6,D6:L12,5,0)</f>
        <v/>
      </c>
      <c r="E42" s="213">
        <f>HLOOKUP(E6,E6:M12,5,0)</f>
        <v/>
      </c>
      <c r="F42" s="213">
        <f>HLOOKUP(F6,F6:N12,5,0)</f>
        <v/>
      </c>
      <c r="G42" s="213">
        <f>HLOOKUP(G6,G6:O12,5,0)</f>
        <v/>
      </c>
      <c r="H42" s="213">
        <f>HLOOKUP(H6,H6:P12,5,0)</f>
        <v/>
      </c>
      <c r="I42" s="213">
        <f>HLOOKUP(I6,I6:Q12,5,0)</f>
        <v/>
      </c>
      <c r="J42" s="213">
        <f>HLOOKUP(J6,J6:R12,5,0)</f>
        <v/>
      </c>
      <c r="K42" s="213">
        <f>HLOOKUP(K6,K6:S12,5,0)</f>
        <v/>
      </c>
      <c r="L42" s="213">
        <f>HLOOKUP(L6,L6:T12,5,0)</f>
        <v/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</row>
    <row r="43" ht="18" customHeight="1" s="3" thickBot="1" thickTop="1">
      <c r="A43" s="4" t="n"/>
      <c r="B43" s="4" t="n"/>
      <c r="C43" s="4" t="n"/>
      <c r="D43" s="213">
        <f>HLOOKUP(D7,D7:L13,5,0)</f>
        <v/>
      </c>
      <c r="E43" s="213">
        <f>HLOOKUP(E7,E7:M13,5,0)</f>
        <v/>
      </c>
      <c r="F43" s="213">
        <f>HLOOKUP(F7,F7:N13,5,0)</f>
        <v/>
      </c>
      <c r="G43" s="213">
        <f>HLOOKUP(G7,G7:O13,5,0)</f>
        <v/>
      </c>
      <c r="H43" s="213">
        <f>HLOOKUP(H7,H7:P13,5,0)</f>
        <v/>
      </c>
      <c r="I43" s="213">
        <f>HLOOKUP(I7,I7:Q13,5,0)</f>
        <v/>
      </c>
      <c r="J43" s="213">
        <f>HLOOKUP(J7,J7:R13,5,0)</f>
        <v/>
      </c>
      <c r="K43" s="213">
        <f>HLOOKUP(K7,K7:S13,5,0)</f>
        <v/>
      </c>
      <c r="L43" s="213">
        <f>HLOOKUP(L7,L7:T13,5,0)</f>
        <v/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 ht="17" customHeight="1" s="3" thickTop="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s="4" t="n"/>
      <c r="BN90" s="1" t="inlineStr">
        <is>
          <t>Row Labels</t>
        </is>
      </c>
      <c r="BO90" t="inlineStr">
        <is>
          <t>Sum of Ianuarie</t>
        </is>
      </c>
      <c r="BP90" t="inlineStr">
        <is>
          <t xml:space="preserve">Sum of Februarie </t>
        </is>
      </c>
      <c r="BQ90" t="inlineStr">
        <is>
          <t xml:space="preserve">Sum of Martie </t>
        </is>
      </c>
      <c r="BR90" t="inlineStr">
        <is>
          <t xml:space="preserve">Sum of Aprilie </t>
        </is>
      </c>
      <c r="BS90" t="inlineStr">
        <is>
          <t>Sum of Mai</t>
        </is>
      </c>
      <c r="BT90" t="inlineStr">
        <is>
          <t>Sum of Iunie</t>
        </is>
      </c>
    </row>
    <row r="91">
      <c r="A91" s="4" t="n"/>
      <c r="BN91" s="2" t="inlineStr">
        <is>
          <t>Cameră Delux</t>
        </is>
      </c>
      <c r="BO91" t="n">
        <v>43</v>
      </c>
      <c r="BP91" t="n">
        <v>64</v>
      </c>
      <c r="BQ91" t="n">
        <v>86</v>
      </c>
      <c r="BR91" t="n">
        <v>140</v>
      </c>
      <c r="BS91" t="n">
        <v>178</v>
      </c>
      <c r="BT91" t="n">
        <v>198</v>
      </c>
    </row>
    <row r="92">
      <c r="A92" s="4" t="n"/>
      <c r="BN92" s="2" t="inlineStr">
        <is>
          <t>Cameră Palais</t>
        </is>
      </c>
      <c r="BO92" t="n">
        <v>39</v>
      </c>
      <c r="BP92" t="n">
        <v>65</v>
      </c>
      <c r="BQ92" t="n">
        <v>92</v>
      </c>
      <c r="BR92" t="n">
        <v>140</v>
      </c>
      <c r="BS92" t="n">
        <v>171</v>
      </c>
      <c r="BT92" t="n">
        <v>190</v>
      </c>
    </row>
    <row r="93">
      <c r="A93" s="4" t="n"/>
      <c r="BN93" s="2" t="inlineStr">
        <is>
          <t>Cameră Superioară</t>
        </is>
      </c>
      <c r="BO93" t="n">
        <v>43</v>
      </c>
      <c r="BP93" t="n">
        <v>66</v>
      </c>
      <c r="BQ93" t="n">
        <v>90</v>
      </c>
      <c r="BR93" t="n">
        <v>131</v>
      </c>
      <c r="BS93" t="n">
        <v>161</v>
      </c>
      <c r="BT93" t="n">
        <v>209</v>
      </c>
    </row>
    <row r="94">
      <c r="A94" s="4" t="n"/>
      <c r="BN94" s="2" t="inlineStr">
        <is>
          <t>Suită Delux</t>
        </is>
      </c>
      <c r="BO94" t="n">
        <v>14</v>
      </c>
      <c r="BP94" t="n">
        <v>31</v>
      </c>
      <c r="BQ94" t="n">
        <v>40</v>
      </c>
      <c r="BR94" t="n">
        <v>65</v>
      </c>
      <c r="BS94" t="n">
        <v>74</v>
      </c>
      <c r="BT94" t="n">
        <v>92</v>
      </c>
    </row>
    <row r="95">
      <c r="A95" s="4" t="n"/>
      <c r="BN95" s="2" t="inlineStr">
        <is>
          <t>Suită Palais</t>
        </is>
      </c>
      <c r="BO95" t="n">
        <v>10</v>
      </c>
      <c r="BP95" t="n">
        <v>27</v>
      </c>
      <c r="BQ95" t="n">
        <v>37</v>
      </c>
      <c r="BR95" t="n">
        <v>60</v>
      </c>
      <c r="BS95" t="n">
        <v>63</v>
      </c>
      <c r="BT95" t="n">
        <v>90</v>
      </c>
    </row>
    <row r="96">
      <c r="A96" s="4" t="n"/>
      <c r="BN96" s="2" t="inlineStr">
        <is>
          <t>Suită Superioară</t>
        </is>
      </c>
      <c r="BO96" t="n">
        <v>19</v>
      </c>
      <c r="BP96" t="n">
        <v>26</v>
      </c>
      <c r="BQ96" t="n">
        <v>37</v>
      </c>
      <c r="BR96" t="n">
        <v>67</v>
      </c>
      <c r="BS96" t="n">
        <v>79</v>
      </c>
      <c r="BT96" t="n">
        <v>101</v>
      </c>
    </row>
    <row r="97">
      <c r="A97" s="4" t="n"/>
      <c r="BN97" s="2" t="inlineStr">
        <is>
          <t>Villa</t>
        </is>
      </c>
      <c r="BO97" t="n">
        <v>1</v>
      </c>
      <c r="BP97" t="n">
        <v>2</v>
      </c>
      <c r="BQ97" t="n">
        <v>3</v>
      </c>
      <c r="BR97" t="n">
        <v>7</v>
      </c>
      <c r="BS97" t="n">
        <v>10</v>
      </c>
      <c r="BT97" t="n">
        <v>12</v>
      </c>
    </row>
    <row r="98">
      <c r="A98" s="4" t="n"/>
      <c r="BN98" s="2" t="inlineStr">
        <is>
          <t>Grand Total</t>
        </is>
      </c>
      <c r="BO98" t="n">
        <v>169</v>
      </c>
      <c r="BP98" t="n">
        <v>281</v>
      </c>
      <c r="BQ98" t="n">
        <v>385</v>
      </c>
      <c r="BR98" t="n">
        <v>610</v>
      </c>
      <c r="BS98" t="n">
        <v>736</v>
      </c>
      <c r="BT98" t="n">
        <v>892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B63"/>
  <sheetViews>
    <sheetView zoomScaleNormal="100" workbookViewId="0">
      <selection activeCell="AM35" sqref="AM35"/>
    </sheetView>
  </sheetViews>
  <sheetFormatPr baseColWidth="10" defaultRowHeight="16"/>
  <cols>
    <col width="3" customWidth="1" style="3" min="1" max="1"/>
    <col width="3.1640625" customWidth="1" style="3" min="2" max="2"/>
    <col width="3.33203125" customWidth="1" style="3" min="3" max="3"/>
    <col width="13.6640625" customWidth="1" style="3" min="7" max="7"/>
    <col hidden="1" width="23.83203125" customWidth="1" style="3" min="8" max="8"/>
    <col width="33.5" customWidth="1" style="3" min="9" max="9"/>
    <col width="17.5" customWidth="1" style="3" min="12" max="12"/>
    <col width="25.6640625" customWidth="1" style="3" min="13" max="13"/>
    <col width="12.1640625" customWidth="1" style="3" min="14" max="14"/>
    <col width="28.6640625" customWidth="1" style="3" min="15" max="15"/>
    <col width="31.33203125" customWidth="1" style="3" min="16" max="16"/>
    <col width="18.1640625" customWidth="1" style="3" min="17" max="17"/>
    <col width="19.83203125" customWidth="1" style="3" min="18" max="18"/>
    <col width="3.5" customWidth="1" style="3" min="19" max="19"/>
    <col width="3.33203125" customWidth="1" style="3" min="20" max="20"/>
    <col width="3.6640625" customWidth="1" style="3" min="21" max="21"/>
  </cols>
  <sheetData>
    <row r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</row>
    <row r="2">
      <c r="A2" s="4" t="n"/>
      <c r="B2" s="140" t="n"/>
      <c r="C2" s="140" t="n"/>
      <c r="D2" s="140" t="n"/>
      <c r="E2" s="140" t="n"/>
      <c r="F2" s="140" t="n"/>
      <c r="G2" s="140" t="n"/>
      <c r="H2" s="140" t="n"/>
      <c r="I2" s="140" t="n"/>
      <c r="J2" s="140" t="n"/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</row>
    <row r="3" ht="17" customHeight="1" s="3" thickBot="1">
      <c r="A3" s="4" t="n"/>
      <c r="B3" s="140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140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</row>
    <row r="4" ht="18" customHeight="1" s="3" thickBot="1" thickTop="1">
      <c r="A4" s="4" t="n"/>
      <c r="B4" s="140" t="n"/>
      <c r="C4" s="4" t="n"/>
      <c r="D4" s="141" t="inlineStr">
        <is>
          <t>NUME</t>
        </is>
      </c>
      <c r="E4" s="141" t="inlineStr">
        <is>
          <t>PRENUME</t>
        </is>
      </c>
      <c r="F4" s="141" t="inlineStr">
        <is>
          <t>VÂRSTĂ</t>
        </is>
      </c>
      <c r="G4" s="141" t="inlineStr">
        <is>
          <t>DATA NAȘTERII</t>
        </is>
      </c>
      <c r="H4" s="231" t="inlineStr">
        <is>
          <t>ULTIMA CURSA</t>
        </is>
      </c>
      <c r="I4" s="231" t="inlineStr">
        <is>
          <t>ZILE DE LA ULTIMA CURSA</t>
        </is>
      </c>
      <c r="J4" s="141" t="inlineStr">
        <is>
          <t>SEX</t>
        </is>
      </c>
      <c r="K4" s="141" t="inlineStr">
        <is>
          <t>ȚARA</t>
        </is>
      </c>
      <c r="L4" s="231" t="inlineStr">
        <is>
          <t>TARA</t>
        </is>
      </c>
      <c r="M4" s="231" t="inlineStr">
        <is>
          <t>ADRESA</t>
        </is>
      </c>
      <c r="N4" s="141" t="inlineStr">
        <is>
          <t>NR. TELEFON</t>
        </is>
      </c>
      <c r="O4" s="141" t="inlineStr">
        <is>
          <t>TIPUL PREFERAT DE CAMERĂ</t>
        </is>
      </c>
      <c r="P4" s="141" t="inlineStr">
        <is>
          <t>MEDIA DE NOPȚI REZERVATE/SEJUR</t>
        </is>
      </c>
      <c r="Q4" s="141" t="inlineStr">
        <is>
          <t>TOTAL NOPȚI HOTEL</t>
        </is>
      </c>
      <c r="R4" s="141" t="inlineStr">
        <is>
          <t>ULTIMA REZERVARE</t>
        </is>
      </c>
      <c r="S4" s="4" t="n"/>
      <c r="T4" s="140" t="n"/>
      <c r="U4" s="4" t="n"/>
      <c r="V4" s="165" t="inlineStr">
        <is>
          <t>Data de azi</t>
        </is>
      </c>
      <c r="W4" s="166">
        <f>TODAY()</f>
        <v/>
      </c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</row>
    <row r="5">
      <c r="A5" s="4" t="n"/>
      <c r="B5" s="140" t="n"/>
      <c r="C5" s="4" t="n"/>
      <c r="D5" s="142" t="inlineStr">
        <is>
          <t xml:space="preserve">Cristea </t>
        </is>
      </c>
      <c r="E5" s="87" t="inlineStr">
        <is>
          <t>Radu</t>
        </is>
      </c>
      <c r="F5" s="143">
        <f>(YEAR(TODAY())- YEAR(G5))</f>
        <v/>
      </c>
      <c r="G5" s="144" t="n">
        <v>28644</v>
      </c>
      <c r="H5" s="145" t="n">
        <v>43985</v>
      </c>
      <c r="I5" s="146">
        <f>H5-$W$4</f>
        <v/>
      </c>
      <c r="J5" s="147" t="inlineStr">
        <is>
          <t>M</t>
        </is>
      </c>
      <c r="K5" s="87" t="inlineStr">
        <is>
          <t>Franța</t>
        </is>
      </c>
      <c r="L5" s="87" t="inlineStr">
        <is>
          <t>Storchgasse 9</t>
        </is>
      </c>
      <c r="M5" s="87" t="inlineStr">
        <is>
          <t>raducristea@gmail.com</t>
        </is>
      </c>
      <c r="N5" s="87" t="n">
        <v>9947436</v>
      </c>
      <c r="O5" s="87" t="inlineStr">
        <is>
          <t>Cameră Palais</t>
        </is>
      </c>
      <c r="P5" s="87" t="n">
        <v>3</v>
      </c>
      <c r="Q5" s="87" t="n">
        <v>18</v>
      </c>
      <c r="R5" s="148" t="n">
        <v>43651</v>
      </c>
      <c r="S5" s="4" t="n"/>
      <c r="T5" s="140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</row>
    <row r="6">
      <c r="A6" s="4" t="n"/>
      <c r="B6" s="140" t="n"/>
      <c r="C6" s="4" t="n"/>
      <c r="D6" s="149" t="inlineStr">
        <is>
          <t>Popa</t>
        </is>
      </c>
      <c r="E6" s="62" t="inlineStr">
        <is>
          <t>Ioana</t>
        </is>
      </c>
      <c r="F6" s="150">
        <f>(YEAR(TODAY())- YEAR(G6))</f>
        <v/>
      </c>
      <c r="G6" s="151" t="n">
        <v>30109</v>
      </c>
      <c r="H6" s="152" t="n">
        <v>43989</v>
      </c>
      <c r="I6" s="153">
        <f>H6-$W$4</f>
        <v/>
      </c>
      <c r="J6" s="154" t="inlineStr">
        <is>
          <t>F</t>
        </is>
      </c>
      <c r="K6" s="62" t="inlineStr">
        <is>
          <t>Elveția</t>
        </is>
      </c>
      <c r="L6" s="62" t="inlineStr">
        <is>
          <t>Kartnerstrasse 55</t>
        </is>
      </c>
      <c r="M6" s="62" t="inlineStr">
        <is>
          <t>ioanapopa@gmail.com</t>
        </is>
      </c>
      <c r="N6" s="62" t="n">
        <v>4847262</v>
      </c>
      <c r="O6" s="62" t="inlineStr">
        <is>
          <t>Suită Superioară</t>
        </is>
      </c>
      <c r="P6" s="62" t="n">
        <v>3</v>
      </c>
      <c r="Q6" s="62" t="n">
        <v>22</v>
      </c>
      <c r="R6" s="155" t="n">
        <v>43777</v>
      </c>
      <c r="S6" s="4" t="n"/>
      <c r="T6" s="140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</row>
    <row r="7">
      <c r="A7" s="4" t="n"/>
      <c r="B7" s="140" t="n"/>
      <c r="C7" s="4" t="n"/>
      <c r="D7" s="149" t="inlineStr">
        <is>
          <t>Muntean</t>
        </is>
      </c>
      <c r="E7" s="62" t="inlineStr">
        <is>
          <t>Ion</t>
        </is>
      </c>
      <c r="F7" s="150">
        <f>(YEAR(TODAY())- YEAR(G7))</f>
        <v/>
      </c>
      <c r="G7" s="151" t="n">
        <v>33181</v>
      </c>
      <c r="H7" s="152" t="n">
        <v>44139</v>
      </c>
      <c r="I7" s="153">
        <f>H7-$W$4</f>
        <v/>
      </c>
      <c r="J7" s="154" t="inlineStr">
        <is>
          <t>M</t>
        </is>
      </c>
      <c r="K7" s="62" t="inlineStr">
        <is>
          <t>Romania</t>
        </is>
      </c>
      <c r="L7" s="62" t="inlineStr">
        <is>
          <t>Calea Dumbrăvii 6</t>
        </is>
      </c>
      <c r="M7" s="62" t="inlineStr">
        <is>
          <t>ionmuntean@gmail.com</t>
        </is>
      </c>
      <c r="N7" s="62" t="n">
        <v>3838762</v>
      </c>
      <c r="O7" s="62" t="inlineStr">
        <is>
          <t>Suită Palais</t>
        </is>
      </c>
      <c r="P7" s="62" t="n">
        <v>4</v>
      </c>
      <c r="Q7" s="62" t="n">
        <v>41</v>
      </c>
      <c r="R7" s="155" t="n">
        <v>43715</v>
      </c>
      <c r="S7" s="4" t="n"/>
      <c r="T7" s="140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</row>
    <row r="8">
      <c r="A8" s="4" t="n"/>
      <c r="B8" s="140" t="n"/>
      <c r="C8" s="4" t="n"/>
      <c r="D8" s="149" t="inlineStr">
        <is>
          <t>Bolta</t>
        </is>
      </c>
      <c r="E8" s="62" t="inlineStr">
        <is>
          <t>George</t>
        </is>
      </c>
      <c r="F8" s="150">
        <f>(YEAR(TODAY())- YEAR(G8))</f>
        <v/>
      </c>
      <c r="G8" s="151" t="n">
        <v>34235</v>
      </c>
      <c r="H8" s="152" t="n">
        <v>44097</v>
      </c>
      <c r="I8" s="153">
        <f>H8-$W$4</f>
        <v/>
      </c>
      <c r="J8" s="154" t="inlineStr">
        <is>
          <t>M</t>
        </is>
      </c>
      <c r="K8" s="62" t="inlineStr">
        <is>
          <t>Germania</t>
        </is>
      </c>
      <c r="L8" s="62" t="inlineStr">
        <is>
          <t>Stefan Cel Mare 8</t>
        </is>
      </c>
      <c r="M8" s="62" t="inlineStr">
        <is>
          <t>georgebolta@yahoo.com</t>
        </is>
      </c>
      <c r="N8" s="62" t="n">
        <v>3746335</v>
      </c>
      <c r="O8" s="62" t="inlineStr">
        <is>
          <t>Cameră Delux</t>
        </is>
      </c>
      <c r="P8" s="62" t="n">
        <v>5</v>
      </c>
      <c r="Q8" s="62" t="n">
        <v>31</v>
      </c>
      <c r="R8" s="155" t="n">
        <v>43442</v>
      </c>
      <c r="S8" s="4" t="n"/>
      <c r="T8" s="140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</row>
    <row r="9">
      <c r="A9" s="4" t="n"/>
      <c r="B9" s="140" t="n"/>
      <c r="C9" s="4" t="n"/>
      <c r="D9" s="149" t="inlineStr">
        <is>
          <t xml:space="preserve">Barbu </t>
        </is>
      </c>
      <c r="E9" s="62" t="inlineStr">
        <is>
          <t>Andreea</t>
        </is>
      </c>
      <c r="F9" s="150">
        <f>(YEAR(TODAY())- YEAR(G9))</f>
        <v/>
      </c>
      <c r="G9" s="151" t="n">
        <v>30845</v>
      </c>
      <c r="H9" s="152" t="n">
        <v>43994</v>
      </c>
      <c r="I9" s="153">
        <f>H9-$W$4</f>
        <v/>
      </c>
      <c r="J9" s="154" t="inlineStr">
        <is>
          <t>F</t>
        </is>
      </c>
      <c r="K9" s="62" t="inlineStr">
        <is>
          <t>Monaco</t>
        </is>
      </c>
      <c r="L9" s="62" t="inlineStr">
        <is>
          <t>Ullmanstasse 6</t>
        </is>
      </c>
      <c r="M9" s="62" t="inlineStr">
        <is>
          <t>andreeabarbu@yahoo.com</t>
        </is>
      </c>
      <c r="N9" s="62" t="n">
        <v>7365242</v>
      </c>
      <c r="O9" s="62" t="inlineStr">
        <is>
          <t>Villa</t>
        </is>
      </c>
      <c r="P9" s="62" t="n">
        <v>7</v>
      </c>
      <c r="Q9" s="62" t="n">
        <v>20</v>
      </c>
      <c r="R9" s="155" t="n">
        <v>43653</v>
      </c>
      <c r="S9" s="4" t="n"/>
      <c r="T9" s="140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</row>
    <row r="10">
      <c r="A10" s="4" t="n"/>
      <c r="B10" s="140" t="n"/>
      <c r="C10" s="4" t="n"/>
      <c r="D10" s="149" t="inlineStr">
        <is>
          <t>Radu</t>
        </is>
      </c>
      <c r="E10" s="62" t="inlineStr">
        <is>
          <t>David</t>
        </is>
      </c>
      <c r="F10" s="150">
        <f>(YEAR(TODAY())- YEAR(G10))</f>
        <v/>
      </c>
      <c r="G10" s="151" t="n">
        <v>31961</v>
      </c>
      <c r="H10" s="152" t="n">
        <v>44015</v>
      </c>
      <c r="I10" s="153">
        <f>H10-$W$4</f>
        <v/>
      </c>
      <c r="J10" s="154" t="inlineStr">
        <is>
          <t>M</t>
        </is>
      </c>
      <c r="K10" s="62" t="inlineStr">
        <is>
          <t>Suedia</t>
        </is>
      </c>
      <c r="L10" s="62" t="inlineStr">
        <is>
          <t>Strada Lungă 8</t>
        </is>
      </c>
      <c r="M10" s="62" t="inlineStr">
        <is>
          <t>davidradu@yahoo.com</t>
        </is>
      </c>
      <c r="N10" s="62" t="n">
        <v>3622828</v>
      </c>
      <c r="O10" s="62" t="inlineStr">
        <is>
          <t>Cameră Superioară</t>
        </is>
      </c>
      <c r="P10" s="62" t="n">
        <v>6</v>
      </c>
      <c r="Q10" s="62" t="n">
        <v>8</v>
      </c>
      <c r="R10" s="155" t="n">
        <v>43472</v>
      </c>
      <c r="S10" s="4" t="n"/>
      <c r="T10" s="140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</row>
    <row r="11">
      <c r="A11" s="4" t="n"/>
      <c r="B11" s="140" t="n"/>
      <c r="C11" s="4" t="n"/>
      <c r="D11" s="149" t="inlineStr">
        <is>
          <t>Roman</t>
        </is>
      </c>
      <c r="E11" s="62" t="inlineStr">
        <is>
          <t>Alexandru</t>
        </is>
      </c>
      <c r="F11" s="150">
        <f>(YEAR(TODAY())- YEAR(G11))</f>
        <v/>
      </c>
      <c r="G11" s="151" t="n">
        <v>33728</v>
      </c>
      <c r="H11" s="152" t="n">
        <v>43955</v>
      </c>
      <c r="I11" s="153">
        <f>H11-$W$4</f>
        <v/>
      </c>
      <c r="J11" s="154" t="inlineStr">
        <is>
          <t>M</t>
        </is>
      </c>
      <c r="K11" s="62" t="inlineStr">
        <is>
          <t>Romania</t>
        </is>
      </c>
      <c r="L11" s="62" t="inlineStr">
        <is>
          <t>Nicolae Bălcescu 7</t>
        </is>
      </c>
      <c r="M11" s="62" t="inlineStr">
        <is>
          <t>alexandruroman@gmail.com</t>
        </is>
      </c>
      <c r="N11" s="62" t="n">
        <v>8484736</v>
      </c>
      <c r="O11" s="62" t="inlineStr">
        <is>
          <t>Suită Delux</t>
        </is>
      </c>
      <c r="P11" s="62" t="n">
        <v>2</v>
      </c>
      <c r="Q11" s="62" t="n">
        <v>16</v>
      </c>
      <c r="R11" s="155" t="n">
        <v>43484</v>
      </c>
      <c r="S11" s="4" t="n"/>
      <c r="T11" s="140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  <c r="AL11" s="4" t="n"/>
      <c r="AM11" s="4" t="n"/>
    </row>
    <row r="12">
      <c r="A12" s="4" t="n"/>
      <c r="B12" s="140" t="n"/>
      <c r="C12" s="4" t="n"/>
      <c r="D12" s="149" t="inlineStr">
        <is>
          <t>Filip</t>
        </is>
      </c>
      <c r="E12" s="62" t="inlineStr">
        <is>
          <t>Mircea</t>
        </is>
      </c>
      <c r="F12" s="150">
        <f>(YEAR(TODAY())- YEAR(G12))</f>
        <v/>
      </c>
      <c r="G12" s="151" t="n">
        <v>29015</v>
      </c>
      <c r="H12" s="152" t="n">
        <v>43991</v>
      </c>
      <c r="I12" s="153">
        <f>H12-$W$4</f>
        <v/>
      </c>
      <c r="J12" s="154" t="inlineStr">
        <is>
          <t>M</t>
        </is>
      </c>
      <c r="K12" s="62" t="inlineStr">
        <is>
          <t>Monaco</t>
        </is>
      </c>
      <c r="L12" s="62" t="inlineStr">
        <is>
          <t>Mihai Eminescu 67</t>
        </is>
      </c>
      <c r="M12" s="62" t="inlineStr">
        <is>
          <t>mirceafilip@gmail.com</t>
        </is>
      </c>
      <c r="N12" s="62" t="n">
        <v>5364484</v>
      </c>
      <c r="O12" s="62" t="inlineStr">
        <is>
          <t>Cameră Palais</t>
        </is>
      </c>
      <c r="P12" s="62" t="n">
        <v>3</v>
      </c>
      <c r="Q12" s="62" t="n">
        <v>23</v>
      </c>
      <c r="R12" s="155" t="n">
        <v>43621</v>
      </c>
      <c r="S12" s="4" t="n"/>
      <c r="T12" s="140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  <c r="AL12" s="4" t="n"/>
      <c r="AM12" s="4" t="n"/>
    </row>
    <row r="13">
      <c r="A13" s="4" t="n"/>
      <c r="B13" s="140" t="n"/>
      <c r="C13" s="4" t="n"/>
      <c r="D13" s="149" t="inlineStr">
        <is>
          <t>Popescu</t>
        </is>
      </c>
      <c r="E13" s="62" t="inlineStr">
        <is>
          <t>Oana</t>
        </is>
      </c>
      <c r="F13" s="150">
        <f>(YEAR(TODAY())- YEAR(G13))</f>
        <v/>
      </c>
      <c r="G13" s="151" t="n">
        <v>31914</v>
      </c>
      <c r="H13" s="152" t="n">
        <v>43968</v>
      </c>
      <c r="I13" s="153">
        <f>H13-$W$4</f>
        <v/>
      </c>
      <c r="J13" s="154" t="inlineStr">
        <is>
          <t>F</t>
        </is>
      </c>
      <c r="K13" s="62" t="inlineStr">
        <is>
          <t>Franța</t>
        </is>
      </c>
      <c r="L13" s="62" t="inlineStr">
        <is>
          <t>Flroilor 9</t>
        </is>
      </c>
      <c r="M13" s="62" t="inlineStr">
        <is>
          <t>oanapopescu@gmail.com</t>
        </is>
      </c>
      <c r="N13" s="62" t="n">
        <v>7463357</v>
      </c>
      <c r="O13" s="62" t="inlineStr">
        <is>
          <t>Suită Palais</t>
        </is>
      </c>
      <c r="P13" s="62" t="n">
        <v>6</v>
      </c>
      <c r="Q13" s="62" t="n">
        <v>42</v>
      </c>
      <c r="R13" s="155" t="n">
        <v>43716</v>
      </c>
      <c r="S13" s="4" t="n"/>
      <c r="T13" s="140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</row>
    <row r="14">
      <c r="A14" s="4" t="n"/>
      <c r="B14" s="140" t="n"/>
      <c r="C14" s="4" t="n"/>
      <c r="D14" s="149" t="inlineStr">
        <is>
          <t>Tudor</t>
        </is>
      </c>
      <c r="E14" s="62" t="inlineStr">
        <is>
          <t>Paul</t>
        </is>
      </c>
      <c r="F14" s="150">
        <f>(YEAR(TODAY())- YEAR(G14))</f>
        <v/>
      </c>
      <c r="G14" s="151" t="n">
        <v>32316</v>
      </c>
      <c r="H14" s="152" t="n">
        <v>44004</v>
      </c>
      <c r="I14" s="153">
        <f>H14-$W$4</f>
        <v/>
      </c>
      <c r="J14" s="154" t="inlineStr">
        <is>
          <t>M</t>
        </is>
      </c>
      <c r="K14" s="62" t="inlineStr">
        <is>
          <t>Austria</t>
        </is>
      </c>
      <c r="L14" s="62" t="inlineStr">
        <is>
          <t>George Coșbuc 17</t>
        </is>
      </c>
      <c r="M14" s="62" t="inlineStr">
        <is>
          <t>paultudor@yahoo.com</t>
        </is>
      </c>
      <c r="N14" s="62" t="n">
        <v>8383736</v>
      </c>
      <c r="O14" s="62" t="inlineStr">
        <is>
          <t>Suită Delux</t>
        </is>
      </c>
      <c r="P14" s="62" t="n">
        <v>7</v>
      </c>
      <c r="Q14" s="62" t="n">
        <v>26</v>
      </c>
      <c r="R14" s="155" t="n">
        <v>43536</v>
      </c>
      <c r="S14" s="4" t="n"/>
      <c r="T14" s="140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</row>
    <row r="15">
      <c r="A15" s="4" t="n"/>
      <c r="B15" s="140" t="n"/>
      <c r="C15" s="4" t="n"/>
      <c r="D15" s="149" t="inlineStr">
        <is>
          <t>Teodorescu</t>
        </is>
      </c>
      <c r="E15" s="62" t="inlineStr">
        <is>
          <t>Daria</t>
        </is>
      </c>
      <c r="F15" s="150">
        <f>(YEAR(TODAY())- YEAR(G15))</f>
        <v/>
      </c>
      <c r="G15" s="151" t="n">
        <v>28170</v>
      </c>
      <c r="H15" s="152" t="n">
        <v>43875</v>
      </c>
      <c r="I15" s="153">
        <f>H15-$W$4</f>
        <v/>
      </c>
      <c r="J15" s="154" t="inlineStr">
        <is>
          <t>F</t>
        </is>
      </c>
      <c r="K15" s="62" t="inlineStr">
        <is>
          <t>Germania</t>
        </is>
      </c>
      <c r="L15" s="62" t="inlineStr">
        <is>
          <t>Teilor 7</t>
        </is>
      </c>
      <c r="M15" s="62" t="inlineStr">
        <is>
          <t>dariateodorescu@yahoo.com</t>
        </is>
      </c>
      <c r="N15" s="62" t="n">
        <v>8483737</v>
      </c>
      <c r="O15" s="62" t="inlineStr">
        <is>
          <t>Cameră Superioară</t>
        </is>
      </c>
      <c r="P15" s="62" t="n">
        <v>9</v>
      </c>
      <c r="Q15" s="62" t="n">
        <v>14</v>
      </c>
      <c r="R15" s="155" t="n">
        <v>43715</v>
      </c>
      <c r="S15" s="4" t="n"/>
      <c r="T15" s="140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</row>
    <row r="16">
      <c r="A16" s="4" t="n"/>
      <c r="B16" s="140" t="n"/>
      <c r="C16" s="4" t="n"/>
      <c r="D16" s="149" t="inlineStr">
        <is>
          <t>Badea</t>
        </is>
      </c>
      <c r="E16" s="62" t="inlineStr">
        <is>
          <t>Robert</t>
        </is>
      </c>
      <c r="F16" s="150">
        <f>(YEAR(TODAY())- YEAR(G16))</f>
        <v/>
      </c>
      <c r="G16" s="151" t="n">
        <v>34490</v>
      </c>
      <c r="H16" s="152" t="n">
        <v>43987</v>
      </c>
      <c r="I16" s="153">
        <f>H16-$W$4</f>
        <v/>
      </c>
      <c r="J16" s="154" t="inlineStr">
        <is>
          <t>M</t>
        </is>
      </c>
      <c r="K16" s="62" t="inlineStr">
        <is>
          <t>Danemarca</t>
        </is>
      </c>
      <c r="L16" s="62" t="inlineStr">
        <is>
          <t>Unirii 25</t>
        </is>
      </c>
      <c r="M16" s="62" t="inlineStr">
        <is>
          <t>robertbadea@gmail.com</t>
        </is>
      </c>
      <c r="N16" s="62" t="n">
        <v>8484733</v>
      </c>
      <c r="O16" s="62" t="inlineStr">
        <is>
          <t>Cameră Palais</t>
        </is>
      </c>
      <c r="P16" s="62" t="n">
        <v>5</v>
      </c>
      <c r="Q16" s="62" t="n">
        <v>15</v>
      </c>
      <c r="R16" s="155" t="n">
        <v>43585</v>
      </c>
      <c r="S16" s="4" t="n"/>
      <c r="T16" s="140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  <c r="AM16" s="4" t="n"/>
    </row>
    <row r="17">
      <c r="A17" s="4" t="n"/>
      <c r="B17" s="140" t="n"/>
      <c r="C17" s="4" t="n"/>
      <c r="D17" s="149" t="inlineStr">
        <is>
          <t>Aldea</t>
        </is>
      </c>
      <c r="E17" s="62" t="inlineStr">
        <is>
          <t>Dumitru</t>
        </is>
      </c>
      <c r="F17" s="150">
        <f>(YEAR(TODAY())- YEAR(G17))</f>
        <v/>
      </c>
      <c r="G17" s="151" t="n">
        <v>32014</v>
      </c>
      <c r="H17" s="152" t="n">
        <v>44068</v>
      </c>
      <c r="I17" s="153">
        <f>H17-$W$4</f>
        <v/>
      </c>
      <c r="J17" s="154" t="inlineStr">
        <is>
          <t>M</t>
        </is>
      </c>
      <c r="K17" s="62" t="inlineStr">
        <is>
          <t>Franța</t>
        </is>
      </c>
      <c r="L17" s="62" t="inlineStr">
        <is>
          <t>Victoriei 99</t>
        </is>
      </c>
      <c r="M17" s="62" t="inlineStr">
        <is>
          <t>dumitrualdea@gmail.com</t>
        </is>
      </c>
      <c r="N17" s="62" t="n">
        <v>3456788</v>
      </c>
      <c r="O17" s="62" t="inlineStr">
        <is>
          <t>Cameră Palais</t>
        </is>
      </c>
      <c r="P17" s="62" t="n">
        <v>4</v>
      </c>
      <c r="Q17" s="62" t="n">
        <v>27</v>
      </c>
      <c r="R17" s="155" t="n">
        <v>43703</v>
      </c>
      <c r="S17" s="4" t="n"/>
      <c r="T17" s="140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  <c r="AL17" s="4" t="n"/>
      <c r="AM17" s="4" t="n"/>
    </row>
    <row r="18">
      <c r="A18" s="4" t="n"/>
      <c r="B18" s="140" t="n"/>
      <c r="C18" s="4" t="n"/>
      <c r="D18" s="149" t="inlineStr">
        <is>
          <t>Dumitrescu</t>
        </is>
      </c>
      <c r="E18" s="62" t="inlineStr">
        <is>
          <t>Ioana</t>
        </is>
      </c>
      <c r="F18" s="150">
        <f>(YEAR(TODAY())- YEAR(G18))</f>
        <v/>
      </c>
      <c r="G18" s="151" t="n">
        <v>33724</v>
      </c>
      <c r="H18" s="152" t="n">
        <v>43951</v>
      </c>
      <c r="I18" s="153">
        <f>H18-$W$4</f>
        <v/>
      </c>
      <c r="J18" s="154" t="inlineStr">
        <is>
          <t>F</t>
        </is>
      </c>
      <c r="K18" s="62" t="inlineStr">
        <is>
          <t>Norvegia</t>
        </is>
      </c>
      <c r="L18" s="62" t="inlineStr">
        <is>
          <t>Mihai Eminescu 65</t>
        </is>
      </c>
      <c r="M18" s="62" t="inlineStr">
        <is>
          <t>ioanadumitrescu@yahoo.com</t>
        </is>
      </c>
      <c r="N18" s="62" t="n">
        <v>5477888</v>
      </c>
      <c r="O18" s="62" t="inlineStr">
        <is>
          <t>Suită Palais</t>
        </is>
      </c>
      <c r="P18" s="62" t="n">
        <v>5</v>
      </c>
      <c r="Q18" s="62" t="n">
        <v>32</v>
      </c>
      <c r="R18" s="155" t="n">
        <v>43500</v>
      </c>
      <c r="S18" s="4" t="n"/>
      <c r="T18" s="140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  <c r="AL18" s="4" t="n"/>
      <c r="AM18" s="4" t="n"/>
    </row>
    <row r="19" ht="17" customHeight="1" s="3" thickBot="1">
      <c r="A19" s="4" t="n"/>
      <c r="B19" s="140" t="n"/>
      <c r="C19" s="4" t="n"/>
      <c r="D19" s="156" t="inlineStr">
        <is>
          <t>Pop</t>
        </is>
      </c>
      <c r="E19" s="157" t="inlineStr">
        <is>
          <t>Tudor</t>
        </is>
      </c>
      <c r="F19" s="158">
        <f>(YEAR(TODAY())- YEAR(G19))</f>
        <v/>
      </c>
      <c r="G19" s="159" t="n">
        <v>33426</v>
      </c>
      <c r="H19" s="160" t="n">
        <v>44019</v>
      </c>
      <c r="I19" s="161">
        <f>H19-$W$4</f>
        <v/>
      </c>
      <c r="J19" s="162" t="inlineStr">
        <is>
          <t>M</t>
        </is>
      </c>
      <c r="K19" s="163" t="inlineStr">
        <is>
          <t>Suedia</t>
        </is>
      </c>
      <c r="L19" s="163" t="inlineStr">
        <is>
          <t>Libertății 7</t>
        </is>
      </c>
      <c r="M19" s="163" t="inlineStr">
        <is>
          <t>tudorpop@yahoo.com</t>
        </is>
      </c>
      <c r="N19" s="163" t="n">
        <v>7636352</v>
      </c>
      <c r="O19" s="163" t="inlineStr">
        <is>
          <t>Cameră Superioară</t>
        </is>
      </c>
      <c r="P19" s="163" t="n">
        <v>4</v>
      </c>
      <c r="Q19" s="163" t="n">
        <v>9</v>
      </c>
      <c r="R19" s="164" t="n">
        <v>43692</v>
      </c>
      <c r="S19" s="4" t="n"/>
      <c r="T19" s="140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</row>
    <row r="20">
      <c r="A20" s="4" t="n"/>
      <c r="B20" s="140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140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  <c r="AL20" s="4" t="n"/>
      <c r="AM20" s="4" t="n"/>
    </row>
    <row r="21">
      <c r="A21" s="4" t="n"/>
      <c r="B21" s="140" t="n"/>
      <c r="C21" s="140" t="n"/>
      <c r="D21" s="140" t="n"/>
      <c r="E21" s="140" t="n"/>
      <c r="F21" s="140" t="n"/>
      <c r="G21" s="140" t="n"/>
      <c r="H21" s="140" t="n"/>
      <c r="I21" s="140" t="n"/>
      <c r="J21" s="140" t="n"/>
      <c r="K21" s="140" t="n"/>
      <c r="L21" s="140" t="n"/>
      <c r="M21" s="140" t="n"/>
      <c r="N21" s="140" t="n"/>
      <c r="O21" s="140" t="n"/>
      <c r="P21" s="140" t="n"/>
      <c r="Q21" s="140" t="n"/>
      <c r="R21" s="140" t="n"/>
      <c r="S21" s="140" t="n"/>
      <c r="T21" s="140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4" t="n"/>
      <c r="AX22" s="4" t="n"/>
      <c r="AY22" s="4" t="n"/>
      <c r="AZ22" s="4" t="n"/>
      <c r="BA22" s="4" t="n"/>
      <c r="BB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4" t="n"/>
      <c r="AS23" s="4" t="n"/>
      <c r="AT23" s="4" t="n"/>
      <c r="AU23" s="4" t="n"/>
      <c r="AV23" s="4" t="n"/>
      <c r="AW23" s="4" t="n"/>
      <c r="AX23" s="4" t="n"/>
      <c r="AY23" s="4" t="n"/>
      <c r="AZ23" s="4" t="n"/>
      <c r="BA23" s="4" t="n"/>
      <c r="BB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  <c r="AQ24" s="4" t="n"/>
      <c r="AR24" s="4" t="n"/>
      <c r="AS24" s="4" t="n"/>
      <c r="AT24" s="4" t="n"/>
      <c r="AU24" s="4" t="n"/>
      <c r="AV24" s="4" t="n"/>
      <c r="AW24" s="4" t="n"/>
      <c r="AX24" s="4" t="n"/>
      <c r="AY24" s="4" t="n"/>
      <c r="AZ24" s="4" t="n"/>
      <c r="BA24" s="4" t="n"/>
      <c r="BB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4" t="n"/>
      <c r="AX25" s="4" t="n"/>
      <c r="AY25" s="4" t="n"/>
      <c r="AZ25" s="4" t="n"/>
      <c r="BA25" s="4" t="n"/>
      <c r="BB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  <c r="BA27" s="4" t="n"/>
      <c r="BB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  <c r="BA28" s="4" t="n"/>
      <c r="BB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  <c r="BA29" s="4" t="n"/>
      <c r="BB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  <c r="BA31" s="4" t="n"/>
      <c r="BB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  <c r="BA37" s="4" t="n"/>
      <c r="BB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  <c r="BA41" s="4" t="n"/>
      <c r="BB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  <c r="BA42" s="4" t="n"/>
      <c r="BB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  <c r="AR43" s="4" t="n"/>
      <c r="AS43" s="4" t="n"/>
      <c r="AT43" s="4" t="n"/>
      <c r="AU43" s="4" t="n"/>
      <c r="AV43" s="4" t="n"/>
      <c r="AW43" s="4" t="n"/>
      <c r="AX43" s="4" t="n"/>
      <c r="AY43" s="4" t="n"/>
      <c r="AZ43" s="4" t="n"/>
      <c r="BA43" s="4" t="n"/>
      <c r="BB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4" t="n"/>
      <c r="AS44" s="4" t="n"/>
      <c r="AT44" s="4" t="n"/>
      <c r="AU44" s="4" t="n"/>
      <c r="AV44" s="4" t="n"/>
      <c r="AW44" s="4" t="n"/>
      <c r="AX44" s="4" t="n"/>
      <c r="AY44" s="4" t="n"/>
      <c r="AZ44" s="4" t="n"/>
      <c r="BA44" s="4" t="n"/>
      <c r="BB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  <c r="AN45" s="4" t="n"/>
      <c r="AO45" s="4" t="n"/>
      <c r="AP45" s="4" t="n"/>
      <c r="AQ45" s="4" t="n"/>
      <c r="AR45" s="4" t="n"/>
      <c r="AS45" s="4" t="n"/>
      <c r="AT45" s="4" t="n"/>
      <c r="AU45" s="4" t="n"/>
      <c r="AV45" s="4" t="n"/>
      <c r="AW45" s="4" t="n"/>
      <c r="AX45" s="4" t="n"/>
      <c r="AY45" s="4" t="n"/>
      <c r="AZ45" s="4" t="n"/>
      <c r="BA45" s="4" t="n"/>
      <c r="BB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  <c r="AL46" s="4" t="n"/>
      <c r="AM46" s="4" t="n"/>
      <c r="AN46" s="4" t="n"/>
      <c r="AO46" s="4" t="n"/>
      <c r="AP46" s="4" t="n"/>
      <c r="AQ46" s="4" t="n"/>
      <c r="AR46" s="4" t="n"/>
      <c r="AS46" s="4" t="n"/>
      <c r="AT46" s="4" t="n"/>
      <c r="AU46" s="4" t="n"/>
      <c r="AV46" s="4" t="n"/>
      <c r="AW46" s="4" t="n"/>
      <c r="AX46" s="4" t="n"/>
      <c r="AY46" s="4" t="n"/>
      <c r="AZ46" s="4" t="n"/>
      <c r="BA46" s="4" t="n"/>
      <c r="BB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4" t="n"/>
      <c r="AS47" s="4" t="n"/>
      <c r="AT47" s="4" t="n"/>
      <c r="AU47" s="4" t="n"/>
      <c r="AV47" s="4" t="n"/>
      <c r="AW47" s="4" t="n"/>
      <c r="AX47" s="4" t="n"/>
      <c r="AY47" s="4" t="n"/>
      <c r="AZ47" s="4" t="n"/>
      <c r="BA47" s="4" t="n"/>
      <c r="BB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  <c r="AL48" s="4" t="n"/>
      <c r="AM48" s="4" t="n"/>
      <c r="AN48" s="4" t="n"/>
      <c r="AO48" s="4" t="n"/>
      <c r="AP48" s="4" t="n"/>
      <c r="AQ48" s="4" t="n"/>
      <c r="AR48" s="4" t="n"/>
      <c r="AS48" s="4" t="n"/>
      <c r="AT48" s="4" t="n"/>
      <c r="AU48" s="4" t="n"/>
      <c r="AV48" s="4" t="n"/>
      <c r="AW48" s="4" t="n"/>
      <c r="AX48" s="4" t="n"/>
      <c r="AY48" s="4" t="n"/>
      <c r="AZ48" s="4" t="n"/>
      <c r="BA48" s="4" t="n"/>
      <c r="BB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4" t="n"/>
      <c r="AS49" s="4" t="n"/>
      <c r="AT49" s="4" t="n"/>
      <c r="AU49" s="4" t="n"/>
      <c r="AV49" s="4" t="n"/>
      <c r="AW49" s="4" t="n"/>
      <c r="AX49" s="4" t="n"/>
      <c r="AY49" s="4" t="n"/>
      <c r="AZ49" s="4" t="n"/>
      <c r="BA49" s="4" t="n"/>
      <c r="BB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  <c r="AL50" s="4" t="n"/>
      <c r="AM50" s="4" t="n"/>
      <c r="AN50" s="4" t="n"/>
      <c r="AO50" s="4" t="n"/>
      <c r="AP50" s="4" t="n"/>
      <c r="AQ50" s="4" t="n"/>
      <c r="AR50" s="4" t="n"/>
      <c r="AS50" s="4" t="n"/>
      <c r="AT50" s="4" t="n"/>
      <c r="AU50" s="4" t="n"/>
      <c r="AV50" s="4" t="n"/>
      <c r="AW50" s="4" t="n"/>
      <c r="AX50" s="4" t="n"/>
      <c r="AY50" s="4" t="n"/>
      <c r="AZ50" s="4" t="n"/>
      <c r="BA50" s="4" t="n"/>
      <c r="BB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L51" s="4" t="n"/>
      <c r="AM51" s="4" t="n"/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B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B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B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B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B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4" t="n"/>
      <c r="AS57" s="4" t="n"/>
      <c r="AT57" s="4" t="n"/>
      <c r="AU57" s="4" t="n"/>
      <c r="AV57" s="4" t="n"/>
      <c r="AW57" s="4" t="n"/>
      <c r="AX57" s="4" t="n"/>
      <c r="AY57" s="4" t="n"/>
      <c r="AZ57" s="4" t="n"/>
      <c r="BA57" s="4" t="n"/>
      <c r="BB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4" t="n"/>
      <c r="AS58" s="4" t="n"/>
      <c r="AT58" s="4" t="n"/>
      <c r="AU58" s="4" t="n"/>
      <c r="AV58" s="4" t="n"/>
      <c r="AW58" s="4" t="n"/>
      <c r="AX58" s="4" t="n"/>
      <c r="AY58" s="4" t="n"/>
      <c r="AZ58" s="4" t="n"/>
      <c r="BA58" s="4" t="n"/>
      <c r="BB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  <c r="AM59" s="4" t="n"/>
      <c r="AN59" s="4" t="n"/>
      <c r="AO59" s="4" t="n"/>
      <c r="AP59" s="4" t="n"/>
      <c r="AQ59" s="4" t="n"/>
      <c r="AR59" s="4" t="n"/>
      <c r="AS59" s="4" t="n"/>
      <c r="AT59" s="4" t="n"/>
      <c r="AU59" s="4" t="n"/>
      <c r="AV59" s="4" t="n"/>
      <c r="AW59" s="4" t="n"/>
      <c r="AX59" s="4" t="n"/>
      <c r="AY59" s="4" t="n"/>
      <c r="AZ59" s="4" t="n"/>
      <c r="BA59" s="4" t="n"/>
      <c r="BB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  <c r="AR60" s="4" t="n"/>
      <c r="AS60" s="4" t="n"/>
      <c r="AT60" s="4" t="n"/>
      <c r="AU60" s="4" t="n"/>
      <c r="AV60" s="4" t="n"/>
      <c r="AW60" s="4" t="n"/>
      <c r="AX60" s="4" t="n"/>
      <c r="AY60" s="4" t="n"/>
      <c r="AZ60" s="4" t="n"/>
      <c r="BA60" s="4" t="n"/>
      <c r="BB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  <c r="AR61" s="4" t="n"/>
      <c r="AS61" s="4" t="n"/>
      <c r="AT61" s="4" t="n"/>
      <c r="AU61" s="4" t="n"/>
      <c r="AV61" s="4" t="n"/>
      <c r="AW61" s="4" t="n"/>
      <c r="AX61" s="4" t="n"/>
      <c r="AY61" s="4" t="n"/>
      <c r="AZ61" s="4" t="n"/>
      <c r="BA61" s="4" t="n"/>
      <c r="BB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  <c r="AL62" s="4" t="n"/>
      <c r="AM62" s="4" t="n"/>
      <c r="AN62" s="4" t="n"/>
      <c r="AO62" s="4" t="n"/>
      <c r="AP62" s="4" t="n"/>
      <c r="AQ62" s="4" t="n"/>
      <c r="AR62" s="4" t="n"/>
      <c r="AS62" s="4" t="n"/>
      <c r="AT62" s="4" t="n"/>
      <c r="AU62" s="4" t="n"/>
      <c r="AV62" s="4" t="n"/>
      <c r="AW62" s="4" t="n"/>
      <c r="AX62" s="4" t="n"/>
      <c r="AY62" s="4" t="n"/>
      <c r="AZ62" s="4" t="n"/>
      <c r="BA62" s="4" t="n"/>
      <c r="BB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4" t="n"/>
      <c r="AS63" s="4" t="n"/>
      <c r="AT63" s="4" t="n"/>
      <c r="AU63" s="4" t="n"/>
      <c r="AV63" s="4" t="n"/>
      <c r="AW63" s="4" t="n"/>
      <c r="AX63" s="4" t="n"/>
      <c r="AY63" s="4" t="n"/>
      <c r="AZ63" s="4" t="n"/>
      <c r="BA63" s="4" t="n"/>
      <c r="BB63" s="4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84"/>
  <sheetViews>
    <sheetView zoomScaleNormal="100" workbookViewId="0">
      <selection activeCell="BU35" sqref="BU35"/>
    </sheetView>
  </sheetViews>
  <sheetFormatPr baseColWidth="10" defaultRowHeight="16"/>
  <cols>
    <col width="3.1640625" customWidth="1" style="3" min="1" max="3"/>
    <col width="12" customWidth="1" style="3" min="6" max="6"/>
    <col width="17.5" customWidth="1" style="3" min="7" max="7"/>
    <col width="12.6640625" customWidth="1" style="3" min="9" max="9"/>
    <col width="13.1640625" customWidth="1" style="3" min="10" max="10"/>
    <col width="28.6640625" customWidth="1" style="3" min="11" max="11"/>
    <col width="19.6640625" customWidth="1" style="3" min="12" max="12"/>
    <col width="12.1640625" customWidth="1" style="3" min="13" max="13"/>
    <col width="21.6640625" customWidth="1" style="3" min="14" max="14"/>
    <col width="3.5" customWidth="1" style="3" min="15" max="16"/>
  </cols>
  <sheetData>
    <row r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</row>
    <row r="2">
      <c r="A2" s="4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</row>
    <row r="3" ht="17" customHeight="1" s="3" thickBot="1">
      <c r="A3" s="4" t="n"/>
      <c r="B3" s="5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5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 ht="17" customHeight="1" s="3" thickBot="1">
      <c r="A4" s="4" t="n"/>
      <c r="B4" s="5" t="n"/>
      <c r="C4" s="4" t="n"/>
      <c r="D4" s="141" t="inlineStr">
        <is>
          <t xml:space="preserve">NUME </t>
        </is>
      </c>
      <c r="E4" s="141" t="inlineStr">
        <is>
          <t>PRENUME</t>
        </is>
      </c>
      <c r="F4" s="232" t="inlineStr">
        <is>
          <t>NR VEHICUL</t>
        </is>
      </c>
      <c r="G4" s="232" t="inlineStr">
        <is>
          <t>TIP VEHICUL</t>
        </is>
      </c>
      <c r="H4" s="232" t="inlineStr">
        <is>
          <t>DATA PLECARE</t>
        </is>
      </c>
      <c r="I4" s="232" t="inlineStr">
        <is>
          <t>DATA SOSIRE</t>
        </is>
      </c>
      <c r="J4" s="141" t="inlineStr">
        <is>
          <t>NR.TELEFON</t>
        </is>
      </c>
      <c r="K4" s="141" t="inlineStr">
        <is>
          <t>E-MAIL</t>
        </is>
      </c>
      <c r="L4" s="232" t="inlineStr">
        <is>
          <t>TIP MARFA</t>
        </is>
      </c>
      <c r="M4" s="141" t="inlineStr">
        <is>
          <t>NR. MAȘINĂ</t>
        </is>
      </c>
      <c r="N4" s="141" t="inlineStr">
        <is>
          <t>TRANSPORT AEROPORT</t>
        </is>
      </c>
      <c r="O4" s="4" t="n"/>
      <c r="P4" s="5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</row>
    <row r="5">
      <c r="A5" s="4" t="n"/>
      <c r="B5" s="5" t="n"/>
      <c r="C5" s="4" t="n"/>
      <c r="D5" s="167" t="inlineStr">
        <is>
          <t>Tudor</t>
        </is>
      </c>
      <c r="E5" s="168" t="inlineStr">
        <is>
          <t>Adela</t>
        </is>
      </c>
      <c r="F5" s="169" t="n">
        <v>203</v>
      </c>
      <c r="G5" s="168">
        <f>VLOOKUP(F5,'Nr nopți ocpt in prima jum an'!D:M,2,0)</f>
        <v/>
      </c>
      <c r="H5" s="170">
        <f>VLOOKUP(F5,Camere!E:N,9,0)</f>
        <v/>
      </c>
      <c r="I5" s="170">
        <f>VLOOKUP(F5,Camere!E:N,10,0)</f>
        <v/>
      </c>
      <c r="J5" s="168" t="n">
        <v>333488388</v>
      </c>
      <c r="K5" s="168">
        <f>_xlfn.CONCAT(D5,".",E5,"@gmail.com")</f>
        <v/>
      </c>
      <c r="L5" s="171" t="inlineStr">
        <is>
          <t>Da</t>
        </is>
      </c>
      <c r="M5" s="168" t="inlineStr">
        <is>
          <t>NJ8776T</t>
        </is>
      </c>
      <c r="N5" s="172" t="n"/>
      <c r="O5" s="4" t="n"/>
      <c r="P5" s="5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4" t="n"/>
      <c r="B6" s="5" t="n"/>
      <c r="C6" s="4" t="n"/>
      <c r="D6" s="167" t="inlineStr">
        <is>
          <t>Costea</t>
        </is>
      </c>
      <c r="E6" s="168" t="inlineStr">
        <is>
          <t>Valentin</t>
        </is>
      </c>
      <c r="F6" s="169" t="n">
        <v>205</v>
      </c>
      <c r="G6" s="168">
        <f>VLOOKUP(F6,'Nr nopți ocpt in prima jum an'!D:M,2,0)</f>
        <v/>
      </c>
      <c r="H6" s="170">
        <f>VLOOKUP(F6,Camere!E:N,9,0)</f>
        <v/>
      </c>
      <c r="I6" s="170">
        <f>VLOOKUP(F6,Camere!E:N,10,0)</f>
        <v/>
      </c>
      <c r="J6" s="168" t="n">
        <v>748366338</v>
      </c>
      <c r="K6" s="168">
        <f>_xlfn.CONCAT(D6,".",E6,"@gmail.com")</f>
        <v/>
      </c>
      <c r="L6" s="171" t="inlineStr">
        <is>
          <t>Da</t>
        </is>
      </c>
      <c r="M6" s="168" t="inlineStr">
        <is>
          <t>B5666TT</t>
        </is>
      </c>
      <c r="N6" s="172" t="n"/>
      <c r="O6" s="4" t="n"/>
      <c r="P6" s="5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</row>
    <row r="7">
      <c r="A7" s="4" t="n"/>
      <c r="B7" s="5" t="n"/>
      <c r="C7" s="4" t="n"/>
      <c r="D7" s="167" t="inlineStr">
        <is>
          <t>Bârsănescu</t>
        </is>
      </c>
      <c r="E7" s="168" t="inlineStr">
        <is>
          <t>Rebecca</t>
        </is>
      </c>
      <c r="F7" s="169" t="n">
        <v>301</v>
      </c>
      <c r="G7" s="168">
        <f>VLOOKUP(F7,'Nr nopți ocpt in prima jum an'!D:M,2,0)</f>
        <v/>
      </c>
      <c r="H7" s="170">
        <f>VLOOKUP(F7,Camere!E:N,9,0)</f>
        <v/>
      </c>
      <c r="I7" s="170">
        <f>VLOOKUP(F7,Camere!E:N,10,0)</f>
        <v/>
      </c>
      <c r="J7" s="168" t="n">
        <v>363638883</v>
      </c>
      <c r="K7" s="168">
        <f>_xlfn.CONCAT(D7,".",E7,"@gmail.com")</f>
        <v/>
      </c>
      <c r="L7" s="171" t="inlineStr">
        <is>
          <t>Da</t>
        </is>
      </c>
      <c r="M7" s="168" t="inlineStr">
        <is>
          <t>OT677P00</t>
        </is>
      </c>
      <c r="N7" s="172" t="n"/>
      <c r="O7" s="4" t="n"/>
      <c r="P7" s="5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4" t="n"/>
      <c r="B8" s="5" t="n"/>
      <c r="C8" s="4" t="n"/>
      <c r="D8" s="167" t="inlineStr">
        <is>
          <t>Cămătaru</t>
        </is>
      </c>
      <c r="E8" s="168" t="inlineStr">
        <is>
          <t xml:space="preserve">Dragomir </t>
        </is>
      </c>
      <c r="F8" s="169" t="n">
        <v>305</v>
      </c>
      <c r="G8" s="168">
        <f>VLOOKUP(F8,'Nr nopți ocpt in prima jum an'!D:M,2,0)</f>
        <v/>
      </c>
      <c r="H8" s="170">
        <f>VLOOKUP(F8,Camere!E:N,9,0)</f>
        <v/>
      </c>
      <c r="I8" s="170">
        <f>VLOOKUP(F8,Camere!E:N,10,0)</f>
        <v/>
      </c>
      <c r="J8" s="168" t="n">
        <v>746374883</v>
      </c>
      <c r="K8" s="168">
        <f>_xlfn.CONCAT(D8,".",E8,"@gmail.com")</f>
        <v/>
      </c>
      <c r="L8" s="171" t="inlineStr">
        <is>
          <t>Nu</t>
        </is>
      </c>
      <c r="M8" s="168" t="n"/>
      <c r="N8" s="172" t="inlineStr">
        <is>
          <t>Da</t>
        </is>
      </c>
      <c r="O8" s="4" t="n"/>
      <c r="P8" s="5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</row>
    <row r="9">
      <c r="A9" s="4" t="n"/>
      <c r="B9" s="5" t="n"/>
      <c r="C9" s="4" t="n"/>
      <c r="D9" s="167" t="inlineStr">
        <is>
          <t>Morar</t>
        </is>
      </c>
      <c r="E9" s="168" t="inlineStr">
        <is>
          <t>Isabela</t>
        </is>
      </c>
      <c r="F9" s="169" t="n">
        <v>401</v>
      </c>
      <c r="G9" s="168">
        <f>VLOOKUP(F9,'Nr nopți ocpt in prima jum an'!D:M,2,0)</f>
        <v/>
      </c>
      <c r="H9" s="170">
        <f>VLOOKUP(F9,Camere!E:N,9,0)</f>
        <v/>
      </c>
      <c r="I9" s="170">
        <f>VLOOKUP(F9,Camere!E:N,10,0)</f>
        <v/>
      </c>
      <c r="J9" s="168" t="n">
        <v>737488628</v>
      </c>
      <c r="K9" s="168">
        <f>_xlfn.CONCAT(D9,".",E9,"@gmail.com")</f>
        <v/>
      </c>
      <c r="L9" s="171" t="inlineStr">
        <is>
          <t>Da</t>
        </is>
      </c>
      <c r="M9" s="168" t="inlineStr">
        <is>
          <t>G665</t>
        </is>
      </c>
      <c r="N9" s="172" t="n"/>
      <c r="O9" s="4" t="n"/>
      <c r="P9" s="5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4" t="n"/>
      <c r="B10" s="5" t="n"/>
      <c r="C10" s="4" t="n"/>
      <c r="D10" s="167" t="inlineStr">
        <is>
          <t>Pârvulescu</t>
        </is>
      </c>
      <c r="E10" s="168" t="inlineStr">
        <is>
          <t xml:space="preserve">Eduard </t>
        </is>
      </c>
      <c r="F10" s="169" t="n">
        <v>403</v>
      </c>
      <c r="G10" s="168">
        <f>VLOOKUP(F10,'Nr nopți ocpt in prima jum an'!D:M,2,0)</f>
        <v/>
      </c>
      <c r="H10" s="170">
        <f>VLOOKUP(F10,Camere!E:N,9,0)</f>
        <v/>
      </c>
      <c r="I10" s="170">
        <f>VLOOKUP(F10,Camere!E:N,10,0)</f>
        <v/>
      </c>
      <c r="J10" s="168" t="n">
        <v>737748287</v>
      </c>
      <c r="K10" s="168">
        <f>_xlfn.CONCAT(D10,".",E10,"@gmail.com")</f>
        <v/>
      </c>
      <c r="L10" s="171" t="inlineStr">
        <is>
          <t>Nu</t>
        </is>
      </c>
      <c r="M10" s="168" t="n"/>
      <c r="N10" s="172" t="inlineStr">
        <is>
          <t>Da</t>
        </is>
      </c>
      <c r="O10" s="4" t="n"/>
      <c r="P10" s="5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</row>
    <row r="11">
      <c r="A11" s="4" t="n"/>
      <c r="B11" s="5" t="n"/>
      <c r="C11" s="4" t="n"/>
      <c r="D11" s="167" t="inlineStr">
        <is>
          <t>Manea</t>
        </is>
      </c>
      <c r="E11" s="168" t="inlineStr">
        <is>
          <t>Ionut</t>
        </is>
      </c>
      <c r="F11" s="169" t="n">
        <v>501</v>
      </c>
      <c r="G11" s="168">
        <f>VLOOKUP(F11,'Nr nopți ocpt in prima jum an'!D:M,2,0)</f>
        <v/>
      </c>
      <c r="H11" s="170">
        <f>VLOOKUP(F11,Camere!E:N,9,0)</f>
        <v/>
      </c>
      <c r="I11" s="170">
        <f>VLOOKUP(F11,Camere!E:N,10,0)</f>
        <v/>
      </c>
      <c r="J11" s="168" t="n">
        <v>77953736</v>
      </c>
      <c r="K11" s="168">
        <f>_xlfn.CONCAT(D11,".",E11,"@gmail.com")</f>
        <v/>
      </c>
      <c r="L11" s="171" t="inlineStr">
        <is>
          <t>Nu</t>
        </is>
      </c>
      <c r="M11" s="168" t="n"/>
      <c r="N11" s="172" t="inlineStr">
        <is>
          <t>Da</t>
        </is>
      </c>
      <c r="O11" s="4" t="n"/>
      <c r="P11" s="5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4" t="n"/>
      <c r="B12" s="5" t="n"/>
      <c r="C12" s="4" t="n"/>
      <c r="D12" s="167" t="inlineStr">
        <is>
          <t>Voica</t>
        </is>
      </c>
      <c r="E12" s="168" t="inlineStr">
        <is>
          <t>Alin</t>
        </is>
      </c>
      <c r="F12" s="169" t="n">
        <v>503</v>
      </c>
      <c r="G12" s="168">
        <f>VLOOKUP(F12,'Nr nopți ocpt in prima jum an'!D:M,2,0)</f>
        <v/>
      </c>
      <c r="H12" s="170">
        <f>VLOOKUP(F12,Camere!E:N,9,0)</f>
        <v/>
      </c>
      <c r="I12" s="170">
        <f>VLOOKUP(F12,Camere!E:N,10,0)</f>
        <v/>
      </c>
      <c r="J12" s="168" t="n">
        <v>626738958</v>
      </c>
      <c r="K12" s="168">
        <f>_xlfn.CONCAT(D12,".",E12,"@gmail.com")</f>
        <v/>
      </c>
      <c r="L12" s="171" t="inlineStr">
        <is>
          <t>Nu</t>
        </is>
      </c>
      <c r="M12" s="168" t="n"/>
      <c r="N12" s="172" t="inlineStr">
        <is>
          <t>Da</t>
        </is>
      </c>
      <c r="O12" s="4" t="n"/>
      <c r="P12" s="5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</row>
    <row r="13">
      <c r="A13" s="4" t="n"/>
      <c r="B13" s="5" t="n"/>
      <c r="C13" s="4" t="n"/>
      <c r="D13" s="167" t="inlineStr">
        <is>
          <t>Cârțan</t>
        </is>
      </c>
      <c r="E13" s="168" t="inlineStr">
        <is>
          <t>Iulian</t>
        </is>
      </c>
      <c r="F13" s="169" t="n">
        <v>202</v>
      </c>
      <c r="G13" s="168">
        <f>VLOOKUP(F13,'Nr nopți ocpt in prima jum an'!D:M,2,0)</f>
        <v/>
      </c>
      <c r="H13" s="170">
        <f>VLOOKUP(F13,Camere!E:N,9,0)</f>
        <v/>
      </c>
      <c r="I13" s="170">
        <f>VLOOKUP(F13,Camere!E:N,10,0)</f>
        <v/>
      </c>
      <c r="J13" s="168" t="n">
        <v>77593034</v>
      </c>
      <c r="K13" s="168">
        <f>_xlfn.CONCAT(D13,".",E13,"@gmail.com")</f>
        <v/>
      </c>
      <c r="L13" s="171" t="inlineStr">
        <is>
          <t>Da</t>
        </is>
      </c>
      <c r="M13" s="168" t="inlineStr">
        <is>
          <t>6635TT35</t>
        </is>
      </c>
      <c r="N13" s="172" t="n"/>
      <c r="O13" s="4" t="n"/>
      <c r="P13" s="5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4" t="n"/>
      <c r="B14" s="5" t="n"/>
      <c r="C14" s="4" t="n"/>
      <c r="D14" s="167" t="inlineStr">
        <is>
          <t>Botnaru</t>
        </is>
      </c>
      <c r="E14" s="168" t="inlineStr">
        <is>
          <t xml:space="preserve">Dragos </t>
        </is>
      </c>
      <c r="F14" s="169" t="n">
        <v>204</v>
      </c>
      <c r="G14" s="168">
        <f>VLOOKUP(F14,'Nr nopți ocpt in prima jum an'!D:M,2,0)</f>
        <v/>
      </c>
      <c r="H14" s="170">
        <f>VLOOKUP(F14,Camere!E:N,9,0)</f>
        <v/>
      </c>
      <c r="I14" s="170">
        <f>VLOOKUP(F14,Camere!E:N,10,0)</f>
        <v/>
      </c>
      <c r="J14" s="168" t="n">
        <v>44231566</v>
      </c>
      <c r="K14" s="168">
        <f>_xlfn.CONCAT(D14,".",E14,"@gmail.com")</f>
        <v/>
      </c>
      <c r="L14" s="171" t="inlineStr">
        <is>
          <t>Da</t>
        </is>
      </c>
      <c r="M14" s="168" t="inlineStr">
        <is>
          <t>H6365</t>
        </is>
      </c>
      <c r="N14" s="172" t="n"/>
      <c r="O14" s="4" t="n"/>
      <c r="P14" s="5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</row>
    <row r="15">
      <c r="A15" s="4" t="n"/>
      <c r="B15" s="5" t="n"/>
      <c r="C15" s="4" t="n"/>
      <c r="D15" s="167" t="inlineStr">
        <is>
          <t>Pîrvu</t>
        </is>
      </c>
      <c r="E15" s="168" t="inlineStr">
        <is>
          <t>Roxana</t>
        </is>
      </c>
      <c r="F15" s="169" t="n">
        <v>302</v>
      </c>
      <c r="G15" s="168">
        <f>VLOOKUP(F15,'Nr nopți ocpt in prima jum an'!D:M,2,0)</f>
        <v/>
      </c>
      <c r="H15" s="170">
        <f>VLOOKUP(F15,Camere!E:N,9,0)</f>
        <v/>
      </c>
      <c r="I15" s="170">
        <f>VLOOKUP(F15,Camere!E:N,10,0)</f>
        <v/>
      </c>
      <c r="J15" s="168" t="n">
        <v>7784366453</v>
      </c>
      <c r="K15" s="168">
        <f>_xlfn.CONCAT(D15,".",E15,"@gmail.com")</f>
        <v/>
      </c>
      <c r="L15" s="171" t="inlineStr">
        <is>
          <t>Da</t>
        </is>
      </c>
      <c r="M15" s="168" t="inlineStr">
        <is>
          <t>U73645</t>
        </is>
      </c>
      <c r="N15" s="172" t="n"/>
      <c r="O15" s="4" t="n"/>
      <c r="P15" s="5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4" t="n"/>
      <c r="B16" s="5" t="n"/>
      <c r="C16" s="4" t="n"/>
      <c r="D16" s="167" t="inlineStr">
        <is>
          <t>Chelaru</t>
        </is>
      </c>
      <c r="E16" s="168" t="inlineStr">
        <is>
          <t xml:space="preserve">Mariana </t>
        </is>
      </c>
      <c r="F16" s="169" t="n">
        <v>304</v>
      </c>
      <c r="G16" s="168">
        <f>VLOOKUP(F16,'Nr nopți ocpt in prima jum an'!D:M,2,0)</f>
        <v/>
      </c>
      <c r="H16" s="170">
        <f>VLOOKUP(F16,Camere!E:N,9,0)</f>
        <v/>
      </c>
      <c r="I16" s="170">
        <f>VLOOKUP(F16,Camere!E:N,10,0)</f>
        <v/>
      </c>
      <c r="J16" s="168" t="n">
        <v>728346635</v>
      </c>
      <c r="K16" s="168">
        <f>_xlfn.CONCAT(D16,".",E16,"@gmail.com")</f>
        <v/>
      </c>
      <c r="L16" s="171" t="inlineStr">
        <is>
          <t>Da</t>
        </is>
      </c>
      <c r="M16" s="168" t="inlineStr">
        <is>
          <t>O99I9</t>
        </is>
      </c>
      <c r="N16" s="172" t="n"/>
      <c r="O16" s="4" t="n"/>
      <c r="P16" s="5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</row>
    <row r="17">
      <c r="A17" s="4" t="n"/>
      <c r="B17" s="5" t="n"/>
      <c r="C17" s="4" t="n"/>
      <c r="D17" s="167" t="inlineStr">
        <is>
          <t xml:space="preserve">Bruno </t>
        </is>
      </c>
      <c r="E17" s="168" t="inlineStr">
        <is>
          <t>Klaus</t>
        </is>
      </c>
      <c r="F17" s="169" t="n">
        <v>402</v>
      </c>
      <c r="G17" s="168">
        <f>VLOOKUP(F17,'Nr nopți ocpt in prima jum an'!D:M,2,0)</f>
        <v/>
      </c>
      <c r="H17" s="170">
        <f>VLOOKUP(F17,Camere!E:N,9,0)</f>
        <v/>
      </c>
      <c r="I17" s="170">
        <f>VLOOKUP(F17,Camere!E:N,10,0)</f>
        <v/>
      </c>
      <c r="J17" s="168" t="n">
        <v>66253478</v>
      </c>
      <c r="K17" s="168">
        <f>_xlfn.CONCAT(D17,".",E17,"@gmail.com")</f>
        <v/>
      </c>
      <c r="L17" s="171" t="inlineStr">
        <is>
          <t>Nu</t>
        </is>
      </c>
      <c r="M17" s="168" t="n"/>
      <c r="N17" s="172" t="inlineStr">
        <is>
          <t>Da</t>
        </is>
      </c>
      <c r="O17" s="4" t="n"/>
      <c r="P17" s="5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4" t="n"/>
      <c r="B18" s="5" t="n"/>
      <c r="C18" s="4" t="n"/>
      <c r="D18" s="167" t="inlineStr">
        <is>
          <t>Călugăreanu</t>
        </is>
      </c>
      <c r="E18" s="168" t="inlineStr">
        <is>
          <t>Nicolina</t>
        </is>
      </c>
      <c r="F18" s="169" t="n">
        <v>404</v>
      </c>
      <c r="G18" s="168">
        <f>VLOOKUP(F18,'Nr nopți ocpt in prima jum an'!D:M,2,0)</f>
        <v/>
      </c>
      <c r="H18" s="170">
        <f>VLOOKUP(F18,Camere!E:N,9,0)</f>
        <v/>
      </c>
      <c r="I18" s="170">
        <f>VLOOKUP(F18,Camere!E:N,10,0)</f>
        <v/>
      </c>
      <c r="J18" s="168" t="n">
        <v>773836467</v>
      </c>
      <c r="K18" s="168">
        <f>_xlfn.CONCAT(D18,".",E18,"@gmail.com")</f>
        <v/>
      </c>
      <c r="L18" s="171" t="inlineStr">
        <is>
          <t>Nu</t>
        </is>
      </c>
      <c r="M18" s="168" t="n"/>
      <c r="N18" s="172" t="inlineStr">
        <is>
          <t>Da</t>
        </is>
      </c>
      <c r="O18" s="4" t="n"/>
      <c r="P18" s="5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</row>
    <row r="19">
      <c r="A19" s="4" t="n"/>
      <c r="B19" s="5" t="n"/>
      <c r="C19" s="4" t="n"/>
      <c r="D19" s="167" t="inlineStr">
        <is>
          <t xml:space="preserve">Ivan </t>
        </is>
      </c>
      <c r="E19" s="168" t="inlineStr">
        <is>
          <t>Teodor</t>
        </is>
      </c>
      <c r="F19" s="169" t="n">
        <v>406</v>
      </c>
      <c r="G19" s="168">
        <f>VLOOKUP(F19,'Nr nopți ocpt in prima jum an'!D:M,2,0)</f>
        <v/>
      </c>
      <c r="H19" s="170">
        <f>VLOOKUP(F19,Camere!E:N,9,0)</f>
        <v/>
      </c>
      <c r="I19" s="170">
        <f>VLOOKUP(F19,Camere!E:N,10,0)</f>
        <v/>
      </c>
      <c r="J19" s="168" t="n">
        <v>663725533</v>
      </c>
      <c r="K19" s="168">
        <f>_xlfn.CONCAT(D19,".",E19,"@gmail.com")</f>
        <v/>
      </c>
      <c r="L19" s="171" t="inlineStr">
        <is>
          <t>Da</t>
        </is>
      </c>
      <c r="M19" s="168" t="inlineStr">
        <is>
          <t>NMFMDM4</t>
        </is>
      </c>
      <c r="N19" s="172" t="n"/>
      <c r="O19" s="4" t="n"/>
      <c r="P19" s="5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4" t="n"/>
      <c r="B20" s="5" t="n"/>
      <c r="C20" s="4" t="n"/>
      <c r="D20" s="167" t="inlineStr">
        <is>
          <t>Papacioc</t>
        </is>
      </c>
      <c r="E20" s="168" t="inlineStr">
        <is>
          <t xml:space="preserve">Bennie </t>
        </is>
      </c>
      <c r="F20" s="169" t="n">
        <v>504</v>
      </c>
      <c r="G20" s="168">
        <f>VLOOKUP(F20,'Nr nopți ocpt in prima jum an'!D:M,2,0)</f>
        <v/>
      </c>
      <c r="H20" s="170">
        <f>VLOOKUP(F20,Camere!E:N,9,0)</f>
        <v/>
      </c>
      <c r="I20" s="170">
        <f>VLOOKUP(F20,Camere!E:N,10,0)</f>
        <v/>
      </c>
      <c r="J20" s="168" t="n">
        <v>77384638</v>
      </c>
      <c r="K20" s="168">
        <f>_xlfn.CONCAT(D20,".",E20,"@gmail.com")</f>
        <v/>
      </c>
      <c r="L20" s="171" t="inlineStr">
        <is>
          <t>Nu</t>
        </is>
      </c>
      <c r="M20" s="168" t="n"/>
      <c r="N20" s="172" t="inlineStr">
        <is>
          <t>Da</t>
        </is>
      </c>
      <c r="O20" s="4" t="n"/>
      <c r="P20" s="5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</row>
    <row r="21">
      <c r="A21" s="4" t="n"/>
      <c r="B21" s="5" t="n"/>
      <c r="C21" s="4" t="n"/>
      <c r="D21" s="167" t="inlineStr">
        <is>
          <t>Hurmuzescu</t>
        </is>
      </c>
      <c r="E21" s="168" t="inlineStr">
        <is>
          <t xml:space="preserve">Andra </t>
        </is>
      </c>
      <c r="F21" s="169" t="n">
        <v>207</v>
      </c>
      <c r="G21" s="168">
        <f>VLOOKUP(F21,'Nr nopți ocpt in prima jum an'!D:M,2,0)</f>
        <v/>
      </c>
      <c r="H21" s="170">
        <f>VLOOKUP(F21,Camere!E:N,9,0)</f>
        <v/>
      </c>
      <c r="I21" s="170">
        <f>VLOOKUP(F21,Camere!E:N,10,0)</f>
        <v/>
      </c>
      <c r="J21" s="168" t="n">
        <v>52437382</v>
      </c>
      <c r="K21" s="168">
        <f>_xlfn.CONCAT(D21,".",E21,"@gmail.com")</f>
        <v/>
      </c>
      <c r="L21" s="171" t="inlineStr">
        <is>
          <t>Nu</t>
        </is>
      </c>
      <c r="M21" s="168" t="n"/>
      <c r="N21" s="172" t="inlineStr">
        <is>
          <t>Da</t>
        </is>
      </c>
      <c r="O21" s="4" t="n"/>
      <c r="P21" s="5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4" t="n"/>
      <c r="B22" s="5" t="n"/>
      <c r="C22" s="4" t="n"/>
      <c r="D22" s="167" t="inlineStr">
        <is>
          <t>Pușcaș</t>
        </is>
      </c>
      <c r="E22" s="168" t="inlineStr">
        <is>
          <t xml:space="preserve">Romeo </t>
        </is>
      </c>
      <c r="F22" s="169" t="n">
        <v>208</v>
      </c>
      <c r="G22" s="168">
        <f>VLOOKUP(F22,'Nr nopți ocpt in prima jum an'!D:M,2,0)</f>
        <v/>
      </c>
      <c r="H22" s="170">
        <f>VLOOKUP(F22,Camere!E:N,9,0)</f>
        <v/>
      </c>
      <c r="I22" s="170">
        <f>VLOOKUP(F22,Camere!E:N,10,0)</f>
        <v/>
      </c>
      <c r="J22" s="168" t="n">
        <v>783625833</v>
      </c>
      <c r="K22" s="168">
        <f>_xlfn.CONCAT(D22,".",E22,"@gmail.com")</f>
        <v/>
      </c>
      <c r="L22" s="171" t="inlineStr">
        <is>
          <t>Nu</t>
        </is>
      </c>
      <c r="M22" s="168" t="n"/>
      <c r="N22" s="172" t="inlineStr">
        <is>
          <t>Da</t>
        </is>
      </c>
      <c r="O22" s="4" t="n"/>
      <c r="P22" s="5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</row>
    <row r="23">
      <c r="A23" s="4" t="n"/>
      <c r="B23" s="5" t="n"/>
      <c r="C23" s="4" t="n"/>
      <c r="D23" s="167" t="inlineStr">
        <is>
          <t>Mihăilă</t>
        </is>
      </c>
      <c r="E23" s="168" t="inlineStr">
        <is>
          <t xml:space="preserve">Flaviu </t>
        </is>
      </c>
      <c r="F23" s="169" t="n">
        <v>209</v>
      </c>
      <c r="G23" s="168">
        <f>VLOOKUP(F23,'Nr nopți ocpt in prima jum an'!D:M,2,0)</f>
        <v/>
      </c>
      <c r="H23" s="170">
        <f>VLOOKUP(F23,Camere!E:N,9,0)</f>
        <v/>
      </c>
      <c r="I23" s="170">
        <f>VLOOKUP(F23,Camere!E:N,10,0)</f>
        <v/>
      </c>
      <c r="J23" s="168" t="n">
        <v>773838292</v>
      </c>
      <c r="K23" s="168">
        <f>_xlfn.CONCAT(D23,".",E23,"@gmail.com")</f>
        <v/>
      </c>
      <c r="L23" s="171" t="inlineStr">
        <is>
          <t>Nu</t>
        </is>
      </c>
      <c r="M23" s="168" t="n"/>
      <c r="N23" s="172" t="inlineStr">
        <is>
          <t>Da</t>
        </is>
      </c>
      <c r="O23" s="4" t="n"/>
      <c r="P23" s="5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4" t="n"/>
      <c r="B24" s="5" t="n"/>
      <c r="C24" s="4" t="n"/>
      <c r="D24" s="167" t="inlineStr">
        <is>
          <t>Săulescu</t>
        </is>
      </c>
      <c r="E24" s="168" t="inlineStr">
        <is>
          <t xml:space="preserve">Rudolf </t>
        </is>
      </c>
      <c r="F24" s="169" t="n">
        <v>307</v>
      </c>
      <c r="G24" s="168">
        <f>VLOOKUP(F24,'Nr nopți ocpt in prima jum an'!D:M,2,0)</f>
        <v/>
      </c>
      <c r="H24" s="170">
        <f>VLOOKUP(F24,Camere!E:N,9,0)</f>
        <v/>
      </c>
      <c r="I24" s="170">
        <f>VLOOKUP(F24,Camere!E:N,10,0)</f>
        <v/>
      </c>
      <c r="J24" s="168" t="n">
        <v>737483736</v>
      </c>
      <c r="K24" s="168">
        <f>_xlfn.CONCAT(D24,".",E24,"@gmail.com")</f>
        <v/>
      </c>
      <c r="L24" s="171" t="inlineStr">
        <is>
          <t>Da</t>
        </is>
      </c>
      <c r="M24" s="168" t="inlineStr">
        <is>
          <t>JFHET5563</t>
        </is>
      </c>
      <c r="N24" s="172" t="n"/>
      <c r="O24" s="4" t="n"/>
      <c r="P24" s="5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</row>
    <row r="25">
      <c r="A25" s="4" t="n"/>
      <c r="B25" s="5" t="n"/>
      <c r="C25" s="4" t="n"/>
      <c r="D25" s="167" t="inlineStr">
        <is>
          <t>Ciucurescu</t>
        </is>
      </c>
      <c r="E25" s="168" t="inlineStr">
        <is>
          <t>Anisia</t>
        </is>
      </c>
      <c r="F25" s="169" t="n">
        <v>308</v>
      </c>
      <c r="G25" s="168">
        <f>VLOOKUP(F25,'Nr nopți ocpt in prima jum an'!D:M,2,0)</f>
        <v/>
      </c>
      <c r="H25" s="170">
        <f>VLOOKUP(F25,Camere!E:N,9,0)</f>
        <v/>
      </c>
      <c r="I25" s="170">
        <f>VLOOKUP(F25,Camere!E:N,10,0)</f>
        <v/>
      </c>
      <c r="J25" s="168" t="n">
        <v>737625345</v>
      </c>
      <c r="K25" s="168">
        <f>_xlfn.CONCAT(D25,".",E25,"@gmail.com")</f>
        <v/>
      </c>
      <c r="L25" s="171" t="inlineStr">
        <is>
          <t>Da</t>
        </is>
      </c>
      <c r="M25" s="168" t="inlineStr">
        <is>
          <t>JJEH778E</t>
        </is>
      </c>
      <c r="N25" s="172" t="n"/>
      <c r="O25" s="4" t="n"/>
      <c r="P25" s="5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4" t="n"/>
      <c r="B26" s="5" t="n"/>
      <c r="C26" s="4" t="n"/>
      <c r="D26" s="167" t="inlineStr">
        <is>
          <t>Mihnea</t>
        </is>
      </c>
      <c r="E26" s="168" t="inlineStr">
        <is>
          <t xml:space="preserve">Fernando </t>
        </is>
      </c>
      <c r="F26" s="169" t="n">
        <v>407</v>
      </c>
      <c r="G26" s="168">
        <f>VLOOKUP(F26,'Nr nopți ocpt in prima jum an'!D:M,2,0)</f>
        <v/>
      </c>
      <c r="H26" s="170">
        <f>VLOOKUP(F26,Camere!E:N,9,0)</f>
        <v/>
      </c>
      <c r="I26" s="170">
        <f>VLOOKUP(F26,Camere!E:N,10,0)</f>
        <v/>
      </c>
      <c r="J26" s="168" t="n">
        <v>373828293</v>
      </c>
      <c r="K26" s="168">
        <f>_xlfn.CONCAT(D26,".",E26,"@gmail.com")</f>
        <v/>
      </c>
      <c r="L26" s="171" t="inlineStr">
        <is>
          <t>Nu</t>
        </is>
      </c>
      <c r="M26" s="168" t="n"/>
      <c r="N26" s="172" t="inlineStr">
        <is>
          <t>Da</t>
        </is>
      </c>
      <c r="O26" s="4" t="n"/>
      <c r="P26" s="5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</row>
    <row r="27">
      <c r="A27" s="4" t="n"/>
      <c r="B27" s="5" t="n"/>
      <c r="C27" s="4" t="n"/>
      <c r="D27" s="167" t="inlineStr">
        <is>
          <t>Voicu</t>
        </is>
      </c>
      <c r="E27" s="168" t="inlineStr">
        <is>
          <t xml:space="preserve">Roland </t>
        </is>
      </c>
      <c r="F27" s="169" t="n">
        <v>408</v>
      </c>
      <c r="G27" s="168">
        <f>VLOOKUP(F27,'Nr nopți ocpt in prima jum an'!D:M,2,0)</f>
        <v/>
      </c>
      <c r="H27" s="170">
        <f>VLOOKUP(F27,Camere!E:N,9,0)</f>
        <v/>
      </c>
      <c r="I27" s="170">
        <f>VLOOKUP(F27,Camere!E:N,10,0)</f>
        <v/>
      </c>
      <c r="J27" s="168" t="n">
        <v>738264737</v>
      </c>
      <c r="K27" s="168">
        <f>_xlfn.CONCAT(D27,".",E27,"@gmail.com")</f>
        <v/>
      </c>
      <c r="L27" s="171" t="inlineStr">
        <is>
          <t>Nu</t>
        </is>
      </c>
      <c r="M27" s="168" t="n"/>
      <c r="N27" s="172" t="inlineStr">
        <is>
          <t>Da</t>
        </is>
      </c>
      <c r="O27" s="4" t="n"/>
      <c r="P27" s="5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4" t="n"/>
      <c r="B28" s="5" t="n"/>
      <c r="C28" s="4" t="n"/>
      <c r="D28" s="167" t="inlineStr">
        <is>
          <t>Necula</t>
        </is>
      </c>
      <c r="E28" s="168" t="inlineStr">
        <is>
          <t xml:space="preserve">Konstantin </t>
        </is>
      </c>
      <c r="F28" s="169" t="n">
        <v>409</v>
      </c>
      <c r="G28" s="168">
        <f>VLOOKUP(F28,'Nr nopți ocpt in prima jum an'!D:M,2,0)</f>
        <v/>
      </c>
      <c r="H28" s="170">
        <f>VLOOKUP(F28,Camere!E:N,9,0)</f>
        <v/>
      </c>
      <c r="I28" s="170">
        <f>VLOOKUP(F28,Camere!E:N,10,0)</f>
        <v/>
      </c>
      <c r="J28" s="168" t="n">
        <v>72635483</v>
      </c>
      <c r="K28" s="168">
        <f>_xlfn.CONCAT(D28,".",E28,"@gmail.com")</f>
        <v/>
      </c>
      <c r="L28" s="171" t="inlineStr">
        <is>
          <t>Da</t>
        </is>
      </c>
      <c r="M28" s="168" t="inlineStr">
        <is>
          <t>3EDDSDE2</t>
        </is>
      </c>
      <c r="N28" s="172" t="n"/>
      <c r="O28" s="4" t="n"/>
      <c r="P28" s="5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</row>
    <row r="29">
      <c r="A29" s="4" t="n"/>
      <c r="B29" s="5" t="n"/>
      <c r="C29" s="4" t="n"/>
      <c r="D29" s="167" t="inlineStr">
        <is>
          <t>Morar</t>
        </is>
      </c>
      <c r="E29" s="168" t="inlineStr">
        <is>
          <t xml:space="preserve">Viorel </t>
        </is>
      </c>
      <c r="F29" s="169" t="n">
        <v>507</v>
      </c>
      <c r="G29" s="168">
        <f>VLOOKUP(F29,'Nr nopți ocpt in prima jum an'!D:M,2,0)</f>
        <v/>
      </c>
      <c r="H29" s="170">
        <f>VLOOKUP(F29,Camere!E:N,9,0)</f>
        <v/>
      </c>
      <c r="I29" s="170">
        <f>VLOOKUP(F29,Camere!E:N,10,0)</f>
        <v/>
      </c>
      <c r="J29" s="168" t="n">
        <v>63728463</v>
      </c>
      <c r="K29" s="168">
        <f>_xlfn.CONCAT(D29,".",E29,"@gmail.com")</f>
        <v/>
      </c>
      <c r="L29" s="171" t="inlineStr">
        <is>
          <t>Da</t>
        </is>
      </c>
      <c r="M29" s="168" t="inlineStr">
        <is>
          <t>HGTTE53</t>
        </is>
      </c>
      <c r="N29" s="172" t="n"/>
      <c r="O29" s="4" t="n"/>
      <c r="P29" s="5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4" t="n"/>
      <c r="B30" s="5" t="n"/>
      <c r="C30" s="4" t="n"/>
      <c r="D30" s="167" t="inlineStr">
        <is>
          <t xml:space="preserve">Ivan </t>
        </is>
      </c>
      <c r="E30" s="168" t="inlineStr">
        <is>
          <t>Magdalena</t>
        </is>
      </c>
      <c r="F30" s="169" t="n">
        <v>508</v>
      </c>
      <c r="G30" s="168">
        <f>VLOOKUP(F30,'Nr nopți ocpt in prima jum an'!D:M,2,0)</f>
        <v/>
      </c>
      <c r="H30" s="170">
        <f>VLOOKUP(F30,Camere!E:N,9,0)</f>
        <v/>
      </c>
      <c r="I30" s="170">
        <f>VLOOKUP(F30,Camere!E:N,10,0)</f>
        <v/>
      </c>
      <c r="J30" s="168" t="n">
        <v>738438837</v>
      </c>
      <c r="K30" s="168">
        <f>_xlfn.CONCAT(D30,".",E30,"@gmail.com")</f>
        <v/>
      </c>
      <c r="L30" s="171" t="inlineStr">
        <is>
          <t>Da</t>
        </is>
      </c>
      <c r="M30" s="168" t="inlineStr">
        <is>
          <t>JFKDG655</t>
        </is>
      </c>
      <c r="N30" s="172" t="n"/>
      <c r="O30" s="4" t="n"/>
      <c r="P30" s="5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</row>
    <row r="31">
      <c r="A31" s="4" t="n"/>
      <c r="B31" s="5" t="n"/>
      <c r="C31" s="4" t="n"/>
      <c r="D31" s="167" t="inlineStr">
        <is>
          <t>Croitor</t>
        </is>
      </c>
      <c r="E31" s="168" t="inlineStr">
        <is>
          <t xml:space="preserve">Dumitru </t>
        </is>
      </c>
      <c r="F31" s="169" t="n">
        <v>310</v>
      </c>
      <c r="G31" s="168">
        <f>VLOOKUP(F31,'Nr nopți ocpt in prima jum an'!D:M,2,0)</f>
        <v/>
      </c>
      <c r="H31" s="170">
        <f>VLOOKUP(F31,Camere!E:N,9,0)</f>
        <v/>
      </c>
      <c r="I31" s="170">
        <f>VLOOKUP(F31,Camere!E:N,10,0)</f>
        <v/>
      </c>
      <c r="J31" s="168" t="n">
        <v>6372635343</v>
      </c>
      <c r="K31" s="168">
        <f>_xlfn.CONCAT(D31,".",E31,"@gmail.com")</f>
        <v/>
      </c>
      <c r="L31" s="171" t="inlineStr">
        <is>
          <t>Da</t>
        </is>
      </c>
      <c r="M31" s="168" t="inlineStr">
        <is>
          <t>KDJFBC666</t>
        </is>
      </c>
      <c r="N31" s="172" t="n"/>
      <c r="O31" s="4" t="n"/>
      <c r="P31" s="5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4" t="n"/>
      <c r="B32" s="5" t="n"/>
      <c r="C32" s="4" t="n"/>
      <c r="D32" s="167" t="inlineStr">
        <is>
          <t>Manea</t>
        </is>
      </c>
      <c r="E32" s="168" t="inlineStr">
        <is>
          <t xml:space="preserve">Sandu </t>
        </is>
      </c>
      <c r="F32" s="169" t="n">
        <v>410</v>
      </c>
      <c r="G32" s="168">
        <f>VLOOKUP(F32,'Nr nopți ocpt in prima jum an'!D:M,2,0)</f>
        <v/>
      </c>
      <c r="H32" s="170">
        <f>VLOOKUP(F32,Camere!E:N,9,0)</f>
        <v/>
      </c>
      <c r="I32" s="170">
        <f>VLOOKUP(F32,Camere!E:N,10,0)</f>
        <v/>
      </c>
      <c r="J32" s="168" t="n">
        <v>8392929237</v>
      </c>
      <c r="K32" s="168">
        <f>_xlfn.CONCAT(D32,".",E32,"@gmail.com")</f>
        <v/>
      </c>
      <c r="L32" s="171" t="inlineStr">
        <is>
          <t>Nu</t>
        </is>
      </c>
      <c r="M32" s="168" t="n"/>
      <c r="N32" s="172" t="inlineStr">
        <is>
          <t>Da</t>
        </is>
      </c>
      <c r="O32" s="4" t="n"/>
      <c r="P32" s="5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</row>
    <row r="33">
      <c r="A33" s="4" t="n"/>
      <c r="B33" s="5" t="n"/>
      <c r="C33" s="4" t="n"/>
      <c r="D33" s="167" t="inlineStr">
        <is>
          <t>Dăscălescu</t>
        </is>
      </c>
      <c r="E33" s="168" t="inlineStr">
        <is>
          <t>Rodica</t>
        </is>
      </c>
      <c r="F33" s="169" t="n">
        <v>510</v>
      </c>
      <c r="G33" s="168">
        <f>VLOOKUP(F33,'Nr nopți ocpt in prima jum an'!D:M,2,0)</f>
        <v/>
      </c>
      <c r="H33" s="170">
        <f>VLOOKUP(F33,Camere!E:N,9,0)</f>
        <v/>
      </c>
      <c r="I33" s="170">
        <f>VLOOKUP(F33,Camere!E:N,10,0)</f>
        <v/>
      </c>
      <c r="J33" s="168" t="n">
        <v>6466363527</v>
      </c>
      <c r="K33" s="168">
        <f>_xlfn.CONCAT(D33,".",E33,"@gmail.com")</f>
        <v/>
      </c>
      <c r="L33" s="171" t="inlineStr">
        <is>
          <t>Nu</t>
        </is>
      </c>
      <c r="M33" s="168" t="n"/>
      <c r="N33" s="172" t="inlineStr">
        <is>
          <t>Da</t>
        </is>
      </c>
      <c r="O33" s="4" t="n"/>
      <c r="P33" s="5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4" t="n"/>
      <c r="B34" s="5" t="n"/>
      <c r="C34" s="4" t="n"/>
      <c r="D34" s="167" t="inlineStr">
        <is>
          <t>Oprea</t>
        </is>
      </c>
      <c r="E34" s="168" t="inlineStr">
        <is>
          <t>Albert</t>
        </is>
      </c>
      <c r="F34" s="169" t="n">
        <v>411</v>
      </c>
      <c r="G34" s="168">
        <f>VLOOKUP(F34,'Nr nopți ocpt in prima jum an'!D:M,2,0)</f>
        <v/>
      </c>
      <c r="H34" s="170">
        <f>VLOOKUP(F34,Camere!E:N,9,0)</f>
        <v/>
      </c>
      <c r="I34" s="170">
        <f>VLOOKUP(F34,Camere!E:N,10,0)</f>
        <v/>
      </c>
      <c r="J34" s="168" t="n">
        <v>737847383</v>
      </c>
      <c r="K34" s="168">
        <f>_xlfn.CONCAT(D34,".",E34,"@gmail.com")</f>
        <v/>
      </c>
      <c r="L34" s="171" t="inlineStr">
        <is>
          <t>Nu</t>
        </is>
      </c>
      <c r="M34" s="168" t="n"/>
      <c r="N34" s="172" t="inlineStr">
        <is>
          <t>Da</t>
        </is>
      </c>
      <c r="O34" s="4" t="n"/>
      <c r="P34" s="5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</row>
    <row r="35">
      <c r="A35" s="4" t="n"/>
      <c r="B35" s="5" t="n"/>
      <c r="C35" s="4" t="n"/>
      <c r="D35" s="167" t="inlineStr">
        <is>
          <t>Opriș</t>
        </is>
      </c>
      <c r="E35" s="168" t="inlineStr">
        <is>
          <t>Sebastian</t>
        </is>
      </c>
      <c r="F35" s="169" t="n">
        <v>412</v>
      </c>
      <c r="G35" s="168">
        <f>VLOOKUP(F35,'Nr nopți ocpt in prima jum an'!D:M,2,0)</f>
        <v/>
      </c>
      <c r="H35" s="170">
        <f>VLOOKUP(F35,Camere!E:N,9,0)</f>
        <v/>
      </c>
      <c r="I35" s="170">
        <f>VLOOKUP(F35,Camere!E:N,10,0)</f>
        <v/>
      </c>
      <c r="J35" s="168" t="n">
        <v>7363838393</v>
      </c>
      <c r="K35" s="168">
        <f>_xlfn.CONCAT(D35,".",E35,"@gmail.com")</f>
        <v/>
      </c>
      <c r="L35" s="171" t="inlineStr">
        <is>
          <t>Nu</t>
        </is>
      </c>
      <c r="M35" s="168" t="n"/>
      <c r="N35" s="172" t="inlineStr">
        <is>
          <t>Da</t>
        </is>
      </c>
      <c r="O35" s="4" t="n"/>
      <c r="P35" s="5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4" t="n"/>
      <c r="B36" s="5" t="n"/>
      <c r="C36" s="4" t="n"/>
      <c r="D36" s="167" t="inlineStr">
        <is>
          <t>Ghiță</t>
        </is>
      </c>
      <c r="E36" s="168" t="inlineStr">
        <is>
          <t xml:space="preserve">Vladimir </t>
        </is>
      </c>
      <c r="F36" s="169" t="n">
        <v>513</v>
      </c>
      <c r="G36" s="168">
        <f>VLOOKUP(F36,'Nr nopți ocpt in prima jum an'!D:M,2,0)</f>
        <v/>
      </c>
      <c r="H36" s="170">
        <f>VLOOKUP(F36,Camere!E:N,9,0)</f>
        <v/>
      </c>
      <c r="I36" s="170">
        <f>VLOOKUP(F36,Camere!E:N,10,0)</f>
        <v/>
      </c>
      <c r="J36" s="168" t="n">
        <v>837473839</v>
      </c>
      <c r="K36" s="168">
        <f>_xlfn.CONCAT(D36,".",E36,"@gmail.com")</f>
        <v/>
      </c>
      <c r="L36" s="171" t="inlineStr">
        <is>
          <t>Da</t>
        </is>
      </c>
      <c r="M36" s="168" t="inlineStr">
        <is>
          <t>GLEA00</t>
        </is>
      </c>
      <c r="N36" s="172" t="n"/>
      <c r="O36" s="4" t="n"/>
      <c r="P36" s="5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</row>
    <row r="37">
      <c r="A37" s="4" t="n"/>
      <c r="B37" s="5" t="n"/>
      <c r="C37" s="4" t="n"/>
      <c r="D37" s="167" t="inlineStr">
        <is>
          <t>Olaru</t>
        </is>
      </c>
      <c r="E37" s="168" t="inlineStr">
        <is>
          <t>Anton</t>
        </is>
      </c>
      <c r="F37" s="169" t="n">
        <v>104</v>
      </c>
      <c r="G37" s="168">
        <f>VLOOKUP(F37,'Nr nopți ocpt in prima jum an'!D:M,2,0)</f>
        <v/>
      </c>
      <c r="H37" s="170">
        <f>VLOOKUP(F37,Camere!E:N,9,0)</f>
        <v/>
      </c>
      <c r="I37" s="170">
        <f>VLOOKUP(F37,Camere!E:N,10,0)</f>
        <v/>
      </c>
      <c r="J37" s="168" t="n">
        <v>373839394</v>
      </c>
      <c r="K37" s="168">
        <f>_xlfn.CONCAT(D37,".",E37,"@gmail.com")</f>
        <v/>
      </c>
      <c r="L37" s="171" t="inlineStr">
        <is>
          <t>Da</t>
        </is>
      </c>
      <c r="M37" s="168" t="inlineStr">
        <is>
          <t>OPHEH4</t>
        </is>
      </c>
      <c r="N37" s="172" t="n"/>
      <c r="O37" s="4" t="n"/>
      <c r="P37" s="5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4" t="n"/>
      <c r="B38" s="5" t="n"/>
      <c r="C38" s="4" t="n"/>
      <c r="D38" s="167" t="inlineStr">
        <is>
          <t>Ungureanu</t>
        </is>
      </c>
      <c r="E38" s="168" t="inlineStr">
        <is>
          <t>Vincenza</t>
        </is>
      </c>
      <c r="F38" s="169" t="n">
        <v>101</v>
      </c>
      <c r="G38" s="168">
        <f>VLOOKUP(F38,'Nr nopți ocpt in prima jum an'!D:M,2,0)</f>
        <v/>
      </c>
      <c r="H38" s="170">
        <f>VLOOKUP(F38,Camere!E:N,9,0)</f>
        <v/>
      </c>
      <c r="I38" s="170">
        <f>VLOOKUP(F38,Camere!E:N,10,0)</f>
        <v/>
      </c>
      <c r="J38" s="168" t="n">
        <v>636483902</v>
      </c>
      <c r="K38" s="168">
        <f>_xlfn.CONCAT(D38,".",E38,"@gmail.com")</f>
        <v/>
      </c>
      <c r="L38" s="171" t="inlineStr">
        <is>
          <t>Nu</t>
        </is>
      </c>
      <c r="M38" s="168" t="n"/>
      <c r="N38" s="172" t="inlineStr">
        <is>
          <t>Da</t>
        </is>
      </c>
      <c r="O38" s="4" t="n"/>
      <c r="P38" s="5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</row>
    <row r="39">
      <c r="A39" s="4" t="n"/>
      <c r="B39" s="5" t="n"/>
      <c r="C39" s="4" t="n"/>
      <c r="D39" s="167" t="inlineStr">
        <is>
          <t xml:space="preserve">Bran </t>
        </is>
      </c>
      <c r="E39" s="168" t="inlineStr">
        <is>
          <t xml:space="preserve">Florin </t>
        </is>
      </c>
      <c r="F39" s="169" t="n">
        <v>102</v>
      </c>
      <c r="G39" s="168">
        <f>VLOOKUP(F39,'Nr nopți ocpt in prima jum an'!D:M,2,0)</f>
        <v/>
      </c>
      <c r="H39" s="170">
        <f>VLOOKUP(F39,Camere!E:N,9,0)</f>
        <v/>
      </c>
      <c r="I39" s="170">
        <f>VLOOKUP(F39,Camere!E:N,10,0)</f>
        <v/>
      </c>
      <c r="J39" s="168" t="n">
        <v>64638383839</v>
      </c>
      <c r="K39" s="168">
        <f>_xlfn.CONCAT(D39,".",E39,"@gmail.com")</f>
        <v/>
      </c>
      <c r="L39" s="171" t="inlineStr">
        <is>
          <t>Nu</t>
        </is>
      </c>
      <c r="M39" s="168" t="n"/>
      <c r="N39" s="172" t="inlineStr">
        <is>
          <t>Da</t>
        </is>
      </c>
      <c r="O39" s="4" t="n"/>
      <c r="P39" s="5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4" t="n"/>
      <c r="B40" s="5" t="n"/>
      <c r="C40" s="4" t="n"/>
      <c r="D40" s="167" t="inlineStr">
        <is>
          <t>Neacșu</t>
        </is>
      </c>
      <c r="E40" s="168" t="inlineStr">
        <is>
          <t>Margareta</t>
        </is>
      </c>
      <c r="F40" s="169" t="n">
        <v>602</v>
      </c>
      <c r="G40" s="168">
        <f>VLOOKUP(F40,'Nr nopți ocpt in prima jum an'!D:M,2,0)</f>
        <v/>
      </c>
      <c r="H40" s="170">
        <f>VLOOKUP(F40,Camere!E:N,9,0)</f>
        <v/>
      </c>
      <c r="I40" s="170">
        <f>VLOOKUP(F40,Camere!E:N,10,0)</f>
        <v/>
      </c>
      <c r="J40" s="168" t="n">
        <v>74393948387</v>
      </c>
      <c r="K40" s="168">
        <f>_xlfn.CONCAT(D40,".",E40,"@gmail.com")</f>
        <v/>
      </c>
      <c r="L40" s="171" t="inlineStr">
        <is>
          <t>Nu</t>
        </is>
      </c>
      <c r="M40" s="168" t="n"/>
      <c r="N40" s="172" t="inlineStr">
        <is>
          <t>Da</t>
        </is>
      </c>
      <c r="O40" s="4" t="n"/>
      <c r="P40" s="5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</row>
    <row r="41">
      <c r="A41" s="4" t="n"/>
      <c r="B41" s="5" t="n"/>
      <c r="C41" s="4" t="n"/>
      <c r="D41" s="167" t="inlineStr">
        <is>
          <t>Dobrogeanu</t>
        </is>
      </c>
      <c r="E41" s="168" t="inlineStr">
        <is>
          <t xml:space="preserve">Samuel </t>
        </is>
      </c>
      <c r="F41" s="169" t="n">
        <v>603</v>
      </c>
      <c r="G41" s="168">
        <f>VLOOKUP(F41,'Nr nopți ocpt in prima jum an'!D:M,2,0)</f>
        <v/>
      </c>
      <c r="H41" s="170">
        <f>VLOOKUP(F41,Camere!E:N,9,0)</f>
        <v/>
      </c>
      <c r="I41" s="170">
        <f>VLOOKUP(F41,Camere!E:N,10,0)</f>
        <v/>
      </c>
      <c r="J41" s="168" t="n">
        <v>7364497383</v>
      </c>
      <c r="K41" s="168">
        <f>_xlfn.CONCAT(D41,".",E41,"@gmail.com")</f>
        <v/>
      </c>
      <c r="L41" s="171" t="inlineStr">
        <is>
          <t>Da</t>
        </is>
      </c>
      <c r="M41" s="168" t="inlineStr">
        <is>
          <t>889HHE</t>
        </is>
      </c>
      <c r="N41" s="172" t="n"/>
      <c r="O41" s="4" t="n"/>
      <c r="P41" s="5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 ht="17" customHeight="1" s="3" thickBot="1">
      <c r="A42" s="4" t="n"/>
      <c r="B42" s="5" t="n"/>
      <c r="C42" s="4" t="n"/>
      <c r="D42" s="173" t="inlineStr">
        <is>
          <t>Necula</t>
        </is>
      </c>
      <c r="E42" s="174" t="inlineStr">
        <is>
          <t xml:space="preserve">Sorin </t>
        </is>
      </c>
      <c r="F42" s="175" t="n">
        <v>1</v>
      </c>
      <c r="G42" s="174">
        <f>VLOOKUP(F42,'Nr nopți ocpt in prima jum an'!D:M,2,0)</f>
        <v/>
      </c>
      <c r="H42" s="176">
        <f>VLOOKUP(F42,Camere!E:N,9,0)</f>
        <v/>
      </c>
      <c r="I42" s="176">
        <f>VLOOKUP(F42,Camere!E:N,10,0)</f>
        <v/>
      </c>
      <c r="J42" s="174" t="n">
        <v>7354839302</v>
      </c>
      <c r="K42" s="174">
        <f>_xlfn.CONCAT(D42,".",E42,"@gmail.com")</f>
        <v/>
      </c>
      <c r="L42" s="177" t="inlineStr">
        <is>
          <t>Da</t>
        </is>
      </c>
      <c r="M42" s="174" t="inlineStr">
        <is>
          <t>2DOOR</t>
        </is>
      </c>
      <c r="N42" s="178" t="n"/>
      <c r="O42" s="4" t="n"/>
      <c r="P42" s="5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</row>
    <row r="43">
      <c r="A43" s="4" t="n"/>
      <c r="B43" s="5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5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4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Y88"/>
  <sheetViews>
    <sheetView zoomScaleNormal="100" workbookViewId="0">
      <selection activeCell="A1" sqref="A1"/>
    </sheetView>
  </sheetViews>
  <sheetFormatPr baseColWidth="10" defaultRowHeight="16"/>
  <cols>
    <col width="3.1640625" customWidth="1" style="3" min="1" max="3"/>
    <col width="13.1640625" customWidth="1" style="3" min="5" max="5"/>
    <col width="14.5" customWidth="1" style="3" min="6" max="6"/>
    <col width="15.5" bestFit="1" customWidth="1" style="3" min="7" max="7"/>
    <col width="13.83203125" customWidth="1" style="3" min="8" max="10"/>
    <col width="16.33203125" customWidth="1" style="3" min="11" max="11"/>
    <col width="15.5" customWidth="1" style="3" min="13" max="13"/>
    <col width="14.1640625" customWidth="1" style="3" min="14" max="14"/>
    <col width="3.33203125" customWidth="1" style="3" min="17" max="19"/>
  </cols>
  <sheetData>
    <row r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4" t="n"/>
      <c r="AY1" s="4" t="n"/>
    </row>
    <row r="2">
      <c r="A2" s="4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</row>
    <row r="3" ht="17" customHeight="1" s="3" thickBot="1">
      <c r="A3" s="4" t="n"/>
      <c r="B3" s="5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5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  <c r="AX3" s="4" t="n"/>
      <c r="AY3" s="4" t="n"/>
    </row>
    <row r="4" ht="17" customHeight="1" s="3" thickBot="1">
      <c r="A4" s="4" t="n"/>
      <c r="B4" s="5" t="n"/>
      <c r="C4" s="4" t="n"/>
      <c r="D4" s="181" t="inlineStr">
        <is>
          <t>Nr. Crt</t>
        </is>
      </c>
      <c r="E4" s="179" t="inlineStr">
        <is>
          <t>NUME</t>
        </is>
      </c>
      <c r="F4" s="179" t="inlineStr">
        <is>
          <t xml:space="preserve">PRENUME </t>
        </is>
      </c>
      <c r="G4" s="179" t="inlineStr">
        <is>
          <t>CNP</t>
        </is>
      </c>
      <c r="H4" s="179" t="inlineStr">
        <is>
          <t>DATA NAȘTERII</t>
        </is>
      </c>
      <c r="I4" s="179" t="inlineStr">
        <is>
          <t>SEX</t>
        </is>
      </c>
      <c r="J4" s="179" t="inlineStr">
        <is>
          <t>VÂRSTĂ</t>
        </is>
      </c>
      <c r="K4" s="179" t="inlineStr">
        <is>
          <t>DATA ANGAJĂRII</t>
        </is>
      </c>
      <c r="L4" s="179" t="inlineStr">
        <is>
          <t>VECHIME</t>
        </is>
      </c>
      <c r="M4" s="179" t="inlineStr">
        <is>
          <t>VÂRSTA &gt; 30 ANI</t>
        </is>
      </c>
      <c r="N4" s="179" t="inlineStr">
        <is>
          <t>FUNCȚIE</t>
        </is>
      </c>
      <c r="O4" s="179" t="inlineStr">
        <is>
          <t>SALAR</t>
        </is>
      </c>
      <c r="P4" s="180" t="inlineStr">
        <is>
          <t>SCHIMB</t>
        </is>
      </c>
      <c r="Q4" s="4" t="n"/>
      <c r="R4" s="5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</row>
    <row r="5">
      <c r="A5" s="4" t="n"/>
      <c r="B5" s="5" t="n"/>
      <c r="C5" s="4" t="n"/>
      <c r="D5" s="182" t="n">
        <v>26</v>
      </c>
      <c r="E5" s="184" t="inlineStr">
        <is>
          <t>Popa</t>
        </is>
      </c>
      <c r="F5" s="185" t="inlineStr">
        <is>
          <t>Radu</t>
        </is>
      </c>
      <c r="G5" s="186" t="n">
        <v>1960817347850</v>
      </c>
      <c r="H5" s="187">
        <f>DATE(MID(G5,2,2),MID(G5,4,2),MID(G5,6,2))</f>
        <v/>
      </c>
      <c r="I5" s="186">
        <f>IF(MID(G5,1,1)="1","M","F")</f>
        <v/>
      </c>
      <c r="J5" s="188">
        <f>(YEAR(TODAY())-YEAR(H5))</f>
        <v/>
      </c>
      <c r="K5" s="187" t="n">
        <v>42067</v>
      </c>
      <c r="L5" s="188">
        <f>(YEAR(TODAY())-YEAR(K5))</f>
        <v/>
      </c>
      <c r="M5" s="185">
        <f>IF(J5&gt;30,"DA","NU")</f>
        <v/>
      </c>
      <c r="N5" s="185" t="inlineStr">
        <is>
          <t>Șofer</t>
        </is>
      </c>
      <c r="O5" s="189" t="n">
        <v>4500</v>
      </c>
      <c r="P5" s="190" t="n">
        <v>2</v>
      </c>
      <c r="Q5" s="4" t="n"/>
      <c r="R5" s="5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4" t="n"/>
      <c r="AS5" s="4" t="n"/>
      <c r="AT5" s="4" t="n"/>
      <c r="AU5" s="4" t="n"/>
      <c r="AV5" s="4" t="n"/>
      <c r="AW5" s="4" t="n"/>
    </row>
    <row r="6">
      <c r="A6" s="4" t="n"/>
      <c r="B6" s="5" t="n"/>
      <c r="C6" s="4" t="n"/>
      <c r="D6" s="182" t="n">
        <v>7</v>
      </c>
      <c r="E6" s="191" t="inlineStr">
        <is>
          <t>Schuster</t>
        </is>
      </c>
      <c r="F6" s="192" t="inlineStr">
        <is>
          <t>Sandra</t>
        </is>
      </c>
      <c r="G6" s="193" t="n">
        <v>2950601214765</v>
      </c>
      <c r="H6" s="74">
        <f>DATE(MID(G6,2,2),MID(G6,4,2),MID(G6,6,2))</f>
        <v/>
      </c>
      <c r="I6" s="193">
        <f>IF(MID(G6,1,1)="1","M","F")</f>
        <v/>
      </c>
      <c r="J6" s="194">
        <f>(YEAR(TODAY())-YEAR(H6))</f>
        <v/>
      </c>
      <c r="K6" s="74" t="n">
        <v>42858</v>
      </c>
      <c r="L6" s="194">
        <f>(YEAR(TODAY())-YEAR(K6))</f>
        <v/>
      </c>
      <c r="M6" s="192">
        <f>IF(J6&gt;30,"DA","NU")</f>
        <v/>
      </c>
      <c r="N6" s="192" t="inlineStr">
        <is>
          <t>Receptioner</t>
        </is>
      </c>
      <c r="O6" s="195" t="n">
        <v>1000</v>
      </c>
      <c r="P6" s="196" t="n">
        <v>2</v>
      </c>
      <c r="Q6" s="4" t="n"/>
      <c r="R6" s="5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  <c r="AR6" s="4" t="n"/>
      <c r="AS6" s="4" t="n"/>
      <c r="AT6" s="4" t="n"/>
      <c r="AU6" s="4" t="n"/>
      <c r="AV6" s="4" t="n"/>
      <c r="AW6" s="4" t="n"/>
    </row>
    <row r="7">
      <c r="A7" s="4" t="n"/>
      <c r="B7" s="5" t="n"/>
      <c r="C7" s="4" t="n"/>
      <c r="D7" s="182" t="n">
        <v>35</v>
      </c>
      <c r="E7" s="197" t="inlineStr">
        <is>
          <t>Tomescu</t>
        </is>
      </c>
      <c r="F7" s="192" t="inlineStr">
        <is>
          <t>David</t>
        </is>
      </c>
      <c r="G7" s="193" t="n">
        <v>1950402324817</v>
      </c>
      <c r="H7" s="74">
        <f>DATE(MID(G7,2,2),MID(G7,4,2),MID(G7,6,2))</f>
        <v/>
      </c>
      <c r="I7" s="193">
        <f>IF(MID(G7,1,1)="1","M","F")</f>
        <v/>
      </c>
      <c r="J7" s="194">
        <f>(YEAR(TODAY())-YEAR(H7))</f>
        <v/>
      </c>
      <c r="K7" s="74" t="n">
        <v>42494</v>
      </c>
      <c r="L7" s="194">
        <f>(YEAR(TODAY())-YEAR(K7))</f>
        <v/>
      </c>
      <c r="M7" s="192">
        <f>IF(J7&gt;30,"DA","NU")</f>
        <v/>
      </c>
      <c r="N7" s="192" t="inlineStr">
        <is>
          <t>Șofer</t>
        </is>
      </c>
      <c r="O7" s="195" t="n">
        <v>3500</v>
      </c>
      <c r="P7" s="196" t="n">
        <v>1</v>
      </c>
      <c r="Q7" s="4" t="n"/>
      <c r="R7" s="5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4" t="n"/>
      <c r="AS7" s="4" t="n"/>
      <c r="AT7" s="4" t="n"/>
      <c r="AU7" s="4" t="n"/>
      <c r="AV7" s="4" t="n"/>
      <c r="AW7" s="4" t="n"/>
    </row>
    <row r="8">
      <c r="A8" s="4" t="n"/>
      <c r="B8" s="5" t="n"/>
      <c r="C8" s="4" t="n"/>
      <c r="D8" s="182" t="n">
        <v>13</v>
      </c>
      <c r="E8" s="191" t="inlineStr">
        <is>
          <t>Bica</t>
        </is>
      </c>
      <c r="F8" s="192" t="inlineStr">
        <is>
          <t>Ioana</t>
        </is>
      </c>
      <c r="G8" s="193" t="n">
        <v>2941202556645</v>
      </c>
      <c r="H8" s="74">
        <f>DATE(MID(G8,2,2),MID(G8,4,2),MID(G8,6,2))</f>
        <v/>
      </c>
      <c r="I8" s="193">
        <f>IF(MID(G8,1,1)="1","M","F")</f>
        <v/>
      </c>
      <c r="J8" s="194">
        <f>(YEAR(TODAY())-YEAR(H8))</f>
        <v/>
      </c>
      <c r="K8" s="74" t="n">
        <v>41129</v>
      </c>
      <c r="L8" s="194">
        <f>(YEAR(TODAY())-YEAR(K8))</f>
        <v/>
      </c>
      <c r="M8" s="192">
        <f>IF(J8&gt;30,"DA","NU")</f>
        <v/>
      </c>
      <c r="N8" s="192" t="inlineStr">
        <is>
          <t>Menaj</t>
        </is>
      </c>
      <c r="O8" s="195" t="n">
        <v>1500</v>
      </c>
      <c r="P8" s="196" t="n">
        <v>1</v>
      </c>
      <c r="Q8" s="4" t="n"/>
      <c r="R8" s="5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4" t="n"/>
      <c r="AS8" s="4" t="n"/>
      <c r="AT8" s="4" t="n"/>
      <c r="AU8" s="4" t="n"/>
      <c r="AV8" s="4" t="n"/>
      <c r="AW8" s="4" t="n"/>
    </row>
    <row r="9">
      <c r="A9" s="4" t="n"/>
      <c r="B9" s="5" t="n"/>
      <c r="C9" s="4" t="n"/>
      <c r="D9" s="182" t="n">
        <v>34</v>
      </c>
      <c r="E9" s="197" t="inlineStr">
        <is>
          <t>Vladescu</t>
        </is>
      </c>
      <c r="F9" s="192" t="inlineStr">
        <is>
          <t>Andrei</t>
        </is>
      </c>
      <c r="G9" s="193" t="n">
        <v>1940718542109</v>
      </c>
      <c r="H9" s="74">
        <f>DATE(MID(G9,2,2),MID(G9,4,2),MID(G9,6,2))</f>
        <v/>
      </c>
      <c r="I9" s="193">
        <f>IF(MID(G9,1,1)="1","M","F")</f>
        <v/>
      </c>
      <c r="J9" s="194">
        <f>(YEAR(TODAY())-YEAR(H9))</f>
        <v/>
      </c>
      <c r="K9" s="74" t="n">
        <v>42798</v>
      </c>
      <c r="L9" s="194">
        <f>(YEAR(TODAY())-YEAR(K9))</f>
        <v/>
      </c>
      <c r="M9" s="192">
        <f>IF(J9&gt;30,"DA","NU")</f>
        <v/>
      </c>
      <c r="N9" s="192" t="inlineStr">
        <is>
          <t>Șofer</t>
        </is>
      </c>
      <c r="O9" s="195" t="n">
        <v>3500</v>
      </c>
      <c r="P9" s="196" t="n">
        <v>2</v>
      </c>
      <c r="Q9" s="4" t="n"/>
      <c r="R9" s="5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  <c r="AP9" s="4" t="n"/>
      <c r="AQ9" s="4" t="n"/>
      <c r="AR9" s="4" t="n"/>
      <c r="AS9" s="4" t="n"/>
      <c r="AT9" s="4" t="n"/>
      <c r="AU9" s="4" t="n"/>
      <c r="AV9" s="4" t="n"/>
      <c r="AW9" s="4" t="n"/>
    </row>
    <row r="10">
      <c r="A10" s="4" t="n"/>
      <c r="B10" s="5" t="n"/>
      <c r="C10" s="4" t="n"/>
      <c r="D10" s="182" t="n">
        <v>11</v>
      </c>
      <c r="E10" s="191" t="inlineStr">
        <is>
          <t>Mânzat</t>
        </is>
      </c>
      <c r="F10" s="192" t="inlineStr">
        <is>
          <t>Paula</t>
        </is>
      </c>
      <c r="G10" s="193" t="n">
        <v>2930114152084</v>
      </c>
      <c r="H10" s="74">
        <f>DATE(MID(G10,2,2),MID(G10,4,2),MID(G10,6,2))</f>
        <v/>
      </c>
      <c r="I10" s="193">
        <f>IF(MID(G10,1,1)="1","M","F")</f>
        <v/>
      </c>
      <c r="J10" s="194">
        <f>(YEAR(TODAY())-YEAR(H10))</f>
        <v/>
      </c>
      <c r="K10" s="74" t="n">
        <v>41797</v>
      </c>
      <c r="L10" s="194">
        <f>(YEAR(TODAY())-YEAR(K10))</f>
        <v/>
      </c>
      <c r="M10" s="192">
        <f>IF(J10&gt;30,"DA","NU")</f>
        <v/>
      </c>
      <c r="N10" s="192" t="inlineStr">
        <is>
          <t>Receptioner</t>
        </is>
      </c>
      <c r="O10" s="195" t="n">
        <v>2000</v>
      </c>
      <c r="P10" s="196" t="n">
        <v>2</v>
      </c>
      <c r="Q10" s="4" t="n"/>
      <c r="R10" s="5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  <c r="AT10" s="4" t="n"/>
      <c r="AU10" s="4" t="n"/>
      <c r="AV10" s="4" t="n"/>
      <c r="AW10" s="4" t="n"/>
    </row>
    <row r="11">
      <c r="A11" s="4" t="n"/>
      <c r="B11" s="5" t="n"/>
      <c r="C11" s="4" t="n"/>
      <c r="D11" s="182" t="n">
        <v>16</v>
      </c>
      <c r="E11" s="191" t="inlineStr">
        <is>
          <t>Pop</t>
        </is>
      </c>
      <c r="F11" s="192" t="inlineStr">
        <is>
          <t>Ion</t>
        </is>
      </c>
      <c r="G11" s="193" t="n">
        <v>1930426272907</v>
      </c>
      <c r="H11" s="74">
        <f>DATE(MID(G11,2,2),MID(G11,4,2),MID(G11,6,2))</f>
        <v/>
      </c>
      <c r="I11" s="193">
        <f>IF(MID(G11,1,1)="1","M","F")</f>
        <v/>
      </c>
      <c r="J11" s="194">
        <f>(YEAR(TODAY())-YEAR(H11))</f>
        <v/>
      </c>
      <c r="K11" s="74" t="n">
        <v>40870</v>
      </c>
      <c r="L11" s="194">
        <f>(YEAR(TODAY())-YEAR(K11))</f>
        <v/>
      </c>
      <c r="M11" s="192">
        <f>IF(J11&gt;30,"DA","NU")</f>
        <v/>
      </c>
      <c r="N11" s="192" t="inlineStr">
        <is>
          <t>Valet</t>
        </is>
      </c>
      <c r="O11" s="195" t="n">
        <v>3000</v>
      </c>
      <c r="P11" s="196" t="n">
        <v>1</v>
      </c>
      <c r="Q11" s="4" t="n"/>
      <c r="R11" s="5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  <c r="AR11" s="4" t="n"/>
      <c r="AS11" s="4" t="n"/>
      <c r="AT11" s="4" t="n"/>
      <c r="AU11" s="4" t="n"/>
      <c r="AV11" s="4" t="n"/>
      <c r="AW11" s="4" t="n"/>
    </row>
    <row r="12">
      <c r="A12" s="4" t="n"/>
      <c r="B12" s="5" t="n"/>
      <c r="C12" s="4" t="n"/>
      <c r="D12" s="182" t="n">
        <v>17</v>
      </c>
      <c r="E12" s="191" t="inlineStr">
        <is>
          <t>Bâlc</t>
        </is>
      </c>
      <c r="F12" s="192" t="inlineStr">
        <is>
          <t>Claudiu</t>
        </is>
      </c>
      <c r="G12" s="193" t="n">
        <v>1930726241832</v>
      </c>
      <c r="H12" s="74">
        <f>DATE(MID(G12,2,2),MID(G12,4,2),MID(G12,6,2))</f>
        <v/>
      </c>
      <c r="I12" s="193">
        <f>IF(MID(G12,1,1)="1","M","F")</f>
        <v/>
      </c>
      <c r="J12" s="194">
        <f>(YEAR(TODAY())-YEAR(H12))</f>
        <v/>
      </c>
      <c r="K12" s="74" t="n">
        <v>42494</v>
      </c>
      <c r="L12" s="194">
        <f>(YEAR(TODAY())-YEAR(K12))</f>
        <v/>
      </c>
      <c r="M12" s="192">
        <f>IF(J12&gt;30,"DA","NU")</f>
        <v/>
      </c>
      <c r="N12" s="192" t="inlineStr">
        <is>
          <t>Valet</t>
        </is>
      </c>
      <c r="O12" s="195" t="n">
        <v>2000</v>
      </c>
      <c r="P12" s="196" t="n">
        <v>2</v>
      </c>
      <c r="Q12" s="4" t="n"/>
      <c r="R12" s="5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/>
      <c r="AT12" s="4" t="n"/>
      <c r="AU12" s="4" t="n"/>
      <c r="AV12" s="4" t="n"/>
      <c r="AW12" s="4" t="n"/>
    </row>
    <row r="13">
      <c r="A13" s="4" t="n"/>
      <c r="B13" s="5" t="n"/>
      <c r="C13" s="4" t="n"/>
      <c r="D13" s="182" t="n">
        <v>36</v>
      </c>
      <c r="E13" s="197" t="inlineStr">
        <is>
          <t>Mânzat</t>
        </is>
      </c>
      <c r="F13" s="192" t="inlineStr">
        <is>
          <t>Teodor</t>
        </is>
      </c>
      <c r="G13" s="193" t="n">
        <v>1930809456778</v>
      </c>
      <c r="H13" s="74">
        <f>DATE(MID(G13,2,2),MID(G13,4,2),MID(G13,6,2))</f>
        <v/>
      </c>
      <c r="I13" s="193">
        <f>IF(MID(G13,1,1)="1","M","F")</f>
        <v/>
      </c>
      <c r="J13" s="194">
        <f>(YEAR(TODAY())-YEAR(H13))</f>
        <v/>
      </c>
      <c r="K13" s="74" t="n">
        <v>40461</v>
      </c>
      <c r="L13" s="194">
        <f>(YEAR(TODAY())-YEAR(K13))</f>
        <v/>
      </c>
      <c r="M13" s="192">
        <f>IF(J13&gt;30,"DA","NU")</f>
        <v/>
      </c>
      <c r="N13" s="192" t="inlineStr">
        <is>
          <t>Șofer</t>
        </is>
      </c>
      <c r="O13" s="195" t="n">
        <v>4500</v>
      </c>
      <c r="P13" s="196" t="n">
        <v>2</v>
      </c>
      <c r="Q13" s="4" t="n"/>
      <c r="R13" s="5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  <c r="AT13" s="4" t="n"/>
      <c r="AU13" s="4" t="n"/>
      <c r="AV13" s="4" t="n"/>
      <c r="AW13" s="4" t="n"/>
    </row>
    <row r="14">
      <c r="A14" s="4" t="n"/>
      <c r="B14" s="5" t="n"/>
      <c r="C14" s="4" t="n"/>
      <c r="D14" s="182" t="n">
        <v>21</v>
      </c>
      <c r="E14" s="191" t="inlineStr">
        <is>
          <t>Ionescu</t>
        </is>
      </c>
      <c r="F14" s="192" t="inlineStr">
        <is>
          <t>Monica</t>
        </is>
      </c>
      <c r="G14" s="193" t="n">
        <v>2920420462252</v>
      </c>
      <c r="H14" s="74">
        <f>DATE(MID(G14,2,2),MID(G14,4,2),MID(G14,6,2))</f>
        <v/>
      </c>
      <c r="I14" s="193">
        <f>IF(MID(G14,1,1)="1","M","F")</f>
        <v/>
      </c>
      <c r="J14" s="194">
        <f>(YEAR(TODAY())-YEAR(H14))</f>
        <v/>
      </c>
      <c r="K14" s="74" t="n">
        <v>41246</v>
      </c>
      <c r="L14" s="194">
        <f>(YEAR(TODAY())-YEAR(K14))</f>
        <v/>
      </c>
      <c r="M14" s="192">
        <f>IF(J14&gt;30,"DA","NU")</f>
        <v/>
      </c>
      <c r="N14" s="192" t="inlineStr">
        <is>
          <t>Ajutor Bucătar</t>
        </is>
      </c>
      <c r="O14" s="195" t="n">
        <v>3500</v>
      </c>
      <c r="P14" s="196" t="n">
        <v>1</v>
      </c>
      <c r="Q14" s="4" t="n"/>
      <c r="R14" s="5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4" t="n"/>
      <c r="AU14" s="4" t="n"/>
      <c r="AV14" s="4" t="n"/>
      <c r="AW14" s="4" t="n"/>
    </row>
    <row r="15">
      <c r="A15" s="4" t="n"/>
      <c r="B15" s="5" t="n"/>
      <c r="C15" s="4" t="n"/>
      <c r="D15" s="182" t="n">
        <v>1</v>
      </c>
      <c r="E15" s="191" t="inlineStr">
        <is>
          <t xml:space="preserve">Popa </t>
        </is>
      </c>
      <c r="F15" s="192" t="inlineStr">
        <is>
          <t>Teodora</t>
        </is>
      </c>
      <c r="G15" s="193" t="n">
        <v>2910915679823</v>
      </c>
      <c r="H15" s="74">
        <f>DATE(MID(G15,2,2),MID(G15,4,2),MID(G15,6,2))</f>
        <v/>
      </c>
      <c r="I15" s="193">
        <f>IF(MID(G15,1,1)="1","M","F")</f>
        <v/>
      </c>
      <c r="J15" s="194">
        <f>(YEAR(TODAY())-YEAR(H15))</f>
        <v/>
      </c>
      <c r="K15" s="74" t="n">
        <v>42767</v>
      </c>
      <c r="L15" s="194">
        <f>(YEAR(TODAY())-YEAR(K15))</f>
        <v/>
      </c>
      <c r="M15" s="192">
        <f>IF(J15&gt;30,"DA","NU")</f>
        <v/>
      </c>
      <c r="N15" s="192" t="inlineStr">
        <is>
          <t>Receptioner</t>
        </is>
      </c>
      <c r="O15" s="195" t="n">
        <v>1000</v>
      </c>
      <c r="P15" s="196" t="n">
        <v>1</v>
      </c>
      <c r="Q15" s="4" t="n"/>
      <c r="R15" s="5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</row>
    <row r="16">
      <c r="A16" s="4" t="n"/>
      <c r="B16" s="5" t="n"/>
      <c r="C16" s="4" t="n"/>
      <c r="D16" s="182" t="n">
        <v>10</v>
      </c>
      <c r="E16" s="191" t="inlineStr">
        <is>
          <t>Dușa</t>
        </is>
      </c>
      <c r="F16" s="192" t="inlineStr">
        <is>
          <t>Darius</t>
        </is>
      </c>
      <c r="G16" s="193" t="n">
        <v>1911202393786</v>
      </c>
      <c r="H16" s="74">
        <f>DATE(MID(G16,2,2),MID(G16,4,2),MID(G16,6,2))</f>
        <v/>
      </c>
      <c r="I16" s="193">
        <f>IF(MID(G16,1,1)="1","M","F")</f>
        <v/>
      </c>
      <c r="J16" s="194">
        <f>(YEAR(TODAY())-YEAR(H16))</f>
        <v/>
      </c>
      <c r="K16" s="74" t="n">
        <v>42951</v>
      </c>
      <c r="L16" s="194">
        <f>(YEAR(TODAY())-YEAR(K16))</f>
        <v/>
      </c>
      <c r="M16" s="192">
        <f>IF(J16&gt;30,"DA","NU")</f>
        <v/>
      </c>
      <c r="N16" s="192" t="inlineStr">
        <is>
          <t>Portar</t>
        </is>
      </c>
      <c r="O16" s="195" t="n">
        <v>1000</v>
      </c>
      <c r="P16" s="196" t="n">
        <v>1</v>
      </c>
      <c r="Q16" s="4" t="n"/>
      <c r="R16" s="5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  <c r="AU16" s="4" t="n"/>
      <c r="AV16" s="4" t="n"/>
      <c r="AW16" s="4" t="n"/>
    </row>
    <row r="17">
      <c r="A17" s="4" t="n"/>
      <c r="B17" s="5" t="n"/>
      <c r="C17" s="4" t="n"/>
      <c r="D17" s="182" t="n">
        <v>15</v>
      </c>
      <c r="E17" s="191" t="inlineStr">
        <is>
          <t>Florescu</t>
        </is>
      </c>
      <c r="F17" s="192" t="inlineStr">
        <is>
          <t>Alin</t>
        </is>
      </c>
      <c r="G17" s="193" t="n">
        <v>1911118764210</v>
      </c>
      <c r="H17" s="74">
        <f>DATE(MID(G17,2,2),MID(G17,4,2),MID(G17,6,2))</f>
        <v/>
      </c>
      <c r="I17" s="193">
        <f>IF(MID(G17,1,1)="1","M","F")</f>
        <v/>
      </c>
      <c r="J17" s="194">
        <f>(YEAR(TODAY())-YEAR(H17))</f>
        <v/>
      </c>
      <c r="K17" s="74" t="n">
        <v>41426</v>
      </c>
      <c r="L17" s="194">
        <f>(YEAR(TODAY())-YEAR(K17))</f>
        <v/>
      </c>
      <c r="M17" s="192">
        <f>IF(J17&gt;30,"DA","NU")</f>
        <v/>
      </c>
      <c r="N17" s="192" t="inlineStr">
        <is>
          <t>Receptioner</t>
        </is>
      </c>
      <c r="O17" s="195" t="n">
        <v>2000</v>
      </c>
      <c r="P17" s="196" t="n">
        <v>3</v>
      </c>
      <c r="Q17" s="4" t="n"/>
      <c r="R17" s="5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4" t="n"/>
      <c r="AS17" s="4" t="n"/>
      <c r="AT17" s="4" t="n"/>
      <c r="AU17" s="4" t="n"/>
      <c r="AV17" s="4" t="n"/>
      <c r="AW17" s="4" t="n"/>
    </row>
    <row r="18">
      <c r="A18" s="4" t="n"/>
      <c r="B18" s="5" t="n"/>
      <c r="C18" s="4" t="n"/>
      <c r="D18" s="182" t="n">
        <v>30</v>
      </c>
      <c r="E18" s="197" t="inlineStr">
        <is>
          <t>Stanescu</t>
        </is>
      </c>
      <c r="F18" s="192" t="inlineStr">
        <is>
          <t>Bogdan</t>
        </is>
      </c>
      <c r="G18" s="193" t="n">
        <v>1911102320222</v>
      </c>
      <c r="H18" s="74">
        <f>DATE(MID(G18,2,2),MID(G18,4,2),MID(G18,6,2))</f>
        <v/>
      </c>
      <c r="I18" s="193">
        <f>IF(MID(G18,1,1)="1","M","F")</f>
        <v/>
      </c>
      <c r="J18" s="194">
        <f>(YEAR(TODAY())-YEAR(H18))</f>
        <v/>
      </c>
      <c r="K18" s="74" t="n">
        <v>41264</v>
      </c>
      <c r="L18" s="194">
        <f>(YEAR(TODAY())-YEAR(K18))</f>
        <v/>
      </c>
      <c r="M18" s="192">
        <f>IF(J18&gt;30,"DA","NU")</f>
        <v/>
      </c>
      <c r="N18" s="192" t="inlineStr">
        <is>
          <t>Șofer</t>
        </is>
      </c>
      <c r="O18" s="195" t="n">
        <v>4500</v>
      </c>
      <c r="P18" s="196" t="n">
        <v>2</v>
      </c>
      <c r="Q18" s="4" t="n"/>
      <c r="R18" s="5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4" t="n"/>
      <c r="AS18" s="4" t="n"/>
      <c r="AT18" s="4" t="n"/>
      <c r="AU18" s="4" t="n"/>
      <c r="AV18" s="4" t="n"/>
      <c r="AW18" s="4" t="n"/>
    </row>
    <row r="19">
      <c r="A19" s="4" t="n"/>
      <c r="B19" s="5" t="n"/>
      <c r="C19" s="4" t="n"/>
      <c r="D19" s="182" t="n">
        <v>31</v>
      </c>
      <c r="E19" s="197" t="inlineStr">
        <is>
          <t>Georgescu</t>
        </is>
      </c>
      <c r="F19" s="192" t="inlineStr">
        <is>
          <t>Alexandru</t>
        </is>
      </c>
      <c r="G19" s="193" t="n">
        <v>1910318245177</v>
      </c>
      <c r="H19" s="74">
        <f>DATE(MID(G19,2,2),MID(G19,4,2),MID(G19,6,2))</f>
        <v/>
      </c>
      <c r="I19" s="193">
        <f>IF(MID(G19,1,1)="1","M","F")</f>
        <v/>
      </c>
      <c r="J19" s="194">
        <f>(YEAR(TODAY())-YEAR(H19))</f>
        <v/>
      </c>
      <c r="K19" s="74" t="n">
        <v>41702</v>
      </c>
      <c r="L19" s="194">
        <f>(YEAR(TODAY())-YEAR(K19))</f>
        <v/>
      </c>
      <c r="M19" s="192">
        <f>IF(J19&gt;30,"DA","NU")</f>
        <v/>
      </c>
      <c r="N19" s="192" t="inlineStr">
        <is>
          <t>Șofer</t>
        </is>
      </c>
      <c r="O19" s="195" t="n">
        <v>4500</v>
      </c>
      <c r="P19" s="196" t="n">
        <v>1</v>
      </c>
      <c r="Q19" s="4" t="n"/>
      <c r="R19" s="5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  <c r="AR19" s="4" t="n"/>
      <c r="AS19" s="4" t="n"/>
      <c r="AT19" s="4" t="n"/>
      <c r="AU19" s="4" t="n"/>
      <c r="AV19" s="4" t="n"/>
      <c r="AW19" s="4" t="n"/>
    </row>
    <row r="20">
      <c r="A20" s="4" t="n"/>
      <c r="B20" s="5" t="n"/>
      <c r="C20" s="4" t="n"/>
      <c r="D20" s="182" t="n">
        <v>12</v>
      </c>
      <c r="E20" s="191" t="inlineStr">
        <is>
          <t>Ionescu</t>
        </is>
      </c>
      <c r="F20" s="192" t="inlineStr">
        <is>
          <t>Ion</t>
        </is>
      </c>
      <c r="G20" s="193" t="n">
        <v>2900316244546</v>
      </c>
      <c r="H20" s="74">
        <f>DATE(MID(G20,2,2),MID(G20,4,2),MID(G20,6,2))</f>
        <v/>
      </c>
      <c r="I20" s="193">
        <f>IF(MID(G20,1,1)="1","M","F")</f>
        <v/>
      </c>
      <c r="J20" s="194">
        <f>(YEAR(TODAY())-YEAR(H20))</f>
        <v/>
      </c>
      <c r="K20" s="74" t="n">
        <v>42158</v>
      </c>
      <c r="L20" s="194">
        <f>(YEAR(TODAY())-YEAR(K20))</f>
        <v/>
      </c>
      <c r="M20" s="192">
        <f>IF(J20&gt;30,"DA","NU")</f>
        <v/>
      </c>
      <c r="N20" s="192" t="inlineStr">
        <is>
          <t>Menaj</t>
        </is>
      </c>
      <c r="O20" s="195" t="n">
        <v>1500</v>
      </c>
      <c r="P20" s="196" t="n">
        <v>1</v>
      </c>
      <c r="Q20" s="4" t="n"/>
      <c r="R20" s="5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4" t="n"/>
      <c r="AS20" s="4" t="n"/>
      <c r="AT20" s="4" t="n"/>
      <c r="AU20" s="4" t="n"/>
      <c r="AV20" s="4" t="n"/>
      <c r="AW20" s="4" t="n"/>
    </row>
    <row r="21">
      <c r="A21" s="4" t="n"/>
      <c r="B21" s="5" t="n"/>
      <c r="C21" s="4" t="n"/>
      <c r="D21" s="182" t="n">
        <v>20</v>
      </c>
      <c r="E21" s="191" t="inlineStr">
        <is>
          <t>Căluţiu</t>
        </is>
      </c>
      <c r="F21" s="192" t="inlineStr">
        <is>
          <t>Mihaela</t>
        </is>
      </c>
      <c r="G21" s="193" t="n">
        <v>2900319557317</v>
      </c>
      <c r="H21" s="74">
        <f>DATE(MID(G21,2,2),MID(G21,4,2),MID(G21,6,2))</f>
        <v/>
      </c>
      <c r="I21" s="193">
        <f>IF(MID(G21,1,1)="1","M","F")</f>
        <v/>
      </c>
      <c r="J21" s="194">
        <f>(YEAR(TODAY())-YEAR(H21))</f>
        <v/>
      </c>
      <c r="K21" s="74" t="n">
        <v>41643</v>
      </c>
      <c r="L21" s="194">
        <f>(YEAR(TODAY())-YEAR(K21))</f>
        <v/>
      </c>
      <c r="M21" s="192">
        <f>IF(J21&gt;30,"DA","NU")</f>
        <v/>
      </c>
      <c r="N21" s="192" t="inlineStr">
        <is>
          <t>Ajutor Bucătar</t>
        </is>
      </c>
      <c r="O21" s="195" t="n">
        <v>3500</v>
      </c>
      <c r="P21" s="196" t="n">
        <v>1</v>
      </c>
      <c r="Q21" s="4" t="n"/>
      <c r="R21" s="5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  <c r="AN21" s="4" t="n"/>
      <c r="AO21" s="4" t="n"/>
      <c r="AP21" s="4" t="n"/>
      <c r="AQ21" s="4" t="n"/>
      <c r="AR21" s="4" t="n"/>
      <c r="AS21" s="4" t="n"/>
      <c r="AT21" s="4" t="n"/>
      <c r="AU21" s="4" t="n"/>
      <c r="AV21" s="4" t="n"/>
      <c r="AW21" s="4" t="n"/>
    </row>
    <row r="22">
      <c r="A22" s="4" t="n"/>
      <c r="B22" s="5" t="n"/>
      <c r="C22" s="4" t="n"/>
      <c r="D22" s="182" t="n">
        <v>28</v>
      </c>
      <c r="E22" s="197" t="inlineStr">
        <is>
          <t>Barbu</t>
        </is>
      </c>
      <c r="F22" s="192" t="inlineStr">
        <is>
          <t>Andrei</t>
        </is>
      </c>
      <c r="G22" s="193" t="n">
        <v>1900830012030</v>
      </c>
      <c r="H22" s="74">
        <f>DATE(MID(G22,2,2),MID(G22,4,2),MID(G22,6,2))</f>
        <v/>
      </c>
      <c r="I22" s="193">
        <f>IF(MID(G22,1,1)="1","M","F")</f>
        <v/>
      </c>
      <c r="J22" s="194">
        <f>(YEAR(TODAY())-YEAR(H22))</f>
        <v/>
      </c>
      <c r="K22" s="74" t="n">
        <v>41462</v>
      </c>
      <c r="L22" s="194">
        <f>(YEAR(TODAY())-YEAR(K22))</f>
        <v/>
      </c>
      <c r="M22" s="192">
        <f>IF(J22&gt;30,"DA","NU")</f>
        <v/>
      </c>
      <c r="N22" s="192" t="inlineStr">
        <is>
          <t>Șofer</t>
        </is>
      </c>
      <c r="O22" s="195" t="n">
        <v>4500</v>
      </c>
      <c r="P22" s="196" t="n">
        <v>2</v>
      </c>
      <c r="Q22" s="4" t="n"/>
      <c r="R22" s="5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4" t="n"/>
    </row>
    <row r="23">
      <c r="A23" s="4" t="n"/>
      <c r="B23" s="5" t="n"/>
      <c r="C23" s="4" t="n"/>
      <c r="D23" s="182" t="n">
        <v>4</v>
      </c>
      <c r="E23" s="191" t="inlineStr">
        <is>
          <t>Bolta</t>
        </is>
      </c>
      <c r="F23" s="192" t="inlineStr">
        <is>
          <t>Ioana</t>
        </is>
      </c>
      <c r="G23" s="193" t="n">
        <v>2890117903421</v>
      </c>
      <c r="H23" s="74">
        <f>DATE(MID(G23,2,2),MID(G23,4,2),MID(G23,6,2))</f>
        <v/>
      </c>
      <c r="I23" s="193">
        <f>IF(MID(G23,1,1)="1","M","F")</f>
        <v/>
      </c>
      <c r="J23" s="194">
        <f>(YEAR(TODAY())-YEAR(H23))</f>
        <v/>
      </c>
      <c r="K23" s="74" t="n">
        <v>41428</v>
      </c>
      <c r="L23" s="194">
        <f>(YEAR(TODAY())-YEAR(K23))</f>
        <v/>
      </c>
      <c r="M23" s="192">
        <f>IF(J23&gt;30,"DA","NU")</f>
        <v/>
      </c>
      <c r="N23" s="192" t="inlineStr">
        <is>
          <t>Receptioner</t>
        </is>
      </c>
      <c r="O23" s="195" t="n">
        <v>2000</v>
      </c>
      <c r="P23" s="196" t="n">
        <v>1</v>
      </c>
      <c r="Q23" s="4" t="n"/>
      <c r="R23" s="5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4" t="n"/>
      <c r="AS23" s="4" t="n"/>
      <c r="AT23" s="4" t="n"/>
      <c r="AU23" s="4" t="n"/>
      <c r="AV23" s="4" t="n"/>
      <c r="AW23" s="4" t="n"/>
    </row>
    <row r="24">
      <c r="A24" s="4" t="n"/>
      <c r="B24" s="5" t="n"/>
      <c r="C24" s="4" t="n"/>
      <c r="D24" s="182" t="n">
        <v>18</v>
      </c>
      <c r="E24" s="191" t="inlineStr">
        <is>
          <t>Petru</t>
        </is>
      </c>
      <c r="F24" s="192" t="inlineStr">
        <is>
          <t>Eduard</t>
        </is>
      </c>
      <c r="G24" s="193" t="n">
        <v>1890503074079</v>
      </c>
      <c r="H24" s="74">
        <f>DATE(MID(G24,2,2),MID(G24,4,2),MID(G24,6,2))</f>
        <v/>
      </c>
      <c r="I24" s="193">
        <f>IF(MID(G24,1,1)="1","M","F")</f>
        <v/>
      </c>
      <c r="J24" s="194">
        <f>(YEAR(TODAY())-YEAR(H24))</f>
        <v/>
      </c>
      <c r="K24" s="74" t="n">
        <v>43589</v>
      </c>
      <c r="L24" s="194">
        <f>(YEAR(TODAY())-YEAR(K24))</f>
        <v/>
      </c>
      <c r="M24" s="192">
        <f>IF(J24&gt;30,"DA","NU")</f>
        <v/>
      </c>
      <c r="N24" s="192" t="inlineStr">
        <is>
          <t>Curățenie</t>
        </is>
      </c>
      <c r="O24" s="195" t="n">
        <v>800</v>
      </c>
      <c r="P24" s="196" t="n">
        <v>1</v>
      </c>
      <c r="Q24" s="4" t="n"/>
      <c r="R24" s="5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  <c r="AQ24" s="4" t="n"/>
      <c r="AR24" s="4" t="n"/>
      <c r="AS24" s="4" t="n"/>
      <c r="AT24" s="4" t="n"/>
      <c r="AU24" s="4" t="n"/>
      <c r="AV24" s="4" t="n"/>
      <c r="AW24" s="4" t="n"/>
    </row>
    <row r="25">
      <c r="A25" s="4" t="n"/>
      <c r="B25" s="5" t="n"/>
      <c r="C25" s="4" t="n"/>
      <c r="D25" s="182" t="n">
        <v>23</v>
      </c>
      <c r="E25" s="191" t="inlineStr">
        <is>
          <t>Dragoman</t>
        </is>
      </c>
      <c r="F25" s="192" t="inlineStr">
        <is>
          <t>Paul</t>
        </is>
      </c>
      <c r="G25" s="193" t="n">
        <v>2891130226525</v>
      </c>
      <c r="H25" s="74">
        <f>DATE(MID(G25,2,2),MID(G25,4,2),MID(G25,6,2))</f>
        <v/>
      </c>
      <c r="I25" s="193">
        <f>IF(MID(G25,1,1)="1","M","F")</f>
        <v/>
      </c>
      <c r="J25" s="194">
        <f>(YEAR(TODAY())-YEAR(H25))</f>
        <v/>
      </c>
      <c r="K25" s="74" t="n">
        <v>41002</v>
      </c>
      <c r="L25" s="194">
        <f>(YEAR(TODAY())-YEAR(K25))</f>
        <v/>
      </c>
      <c r="M25" s="192">
        <f>IF(J25&gt;30,"DA","NU")</f>
        <v/>
      </c>
      <c r="N25" s="192" t="inlineStr">
        <is>
          <t>Ajutor Bucătar</t>
        </is>
      </c>
      <c r="O25" s="195" t="n">
        <v>3500</v>
      </c>
      <c r="P25" s="196" t="n">
        <v>2</v>
      </c>
      <c r="Q25" s="4" t="n"/>
      <c r="R25" s="5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4" t="n"/>
    </row>
    <row r="26">
      <c r="A26" s="4" t="n"/>
      <c r="B26" s="5" t="n"/>
      <c r="C26" s="4" t="n"/>
      <c r="D26" s="182" t="n">
        <v>27</v>
      </c>
      <c r="E26" s="197" t="inlineStr">
        <is>
          <t>Ionescu</t>
        </is>
      </c>
      <c r="F26" s="192" t="inlineStr">
        <is>
          <t>Gheorghe</t>
        </is>
      </c>
      <c r="G26" s="193" t="n">
        <v>1891101155151</v>
      </c>
      <c r="H26" s="74">
        <f>DATE(MID(G26,2,2),MID(G26,4,2),MID(G26,6,2))</f>
        <v/>
      </c>
      <c r="I26" s="193">
        <f>IF(MID(G26,1,1)="1","M","F")</f>
        <v/>
      </c>
      <c r="J26" s="194">
        <f>(YEAR(TODAY())-YEAR(H26))</f>
        <v/>
      </c>
      <c r="K26" s="74" t="n">
        <v>41336</v>
      </c>
      <c r="L26" s="194">
        <f>(YEAR(TODAY())-YEAR(K26))</f>
        <v/>
      </c>
      <c r="M26" s="192">
        <f>IF(J26&gt;30,"DA","NU")</f>
        <v/>
      </c>
      <c r="N26" s="192" t="inlineStr">
        <is>
          <t>Șofer</t>
        </is>
      </c>
      <c r="O26" s="195" t="n">
        <v>4500</v>
      </c>
      <c r="P26" s="196" t="n">
        <v>1</v>
      </c>
      <c r="Q26" s="4" t="n"/>
      <c r="R26" s="5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</row>
    <row r="27">
      <c r="A27" s="4" t="n"/>
      <c r="B27" s="5" t="n"/>
      <c r="C27" s="4" t="n"/>
      <c r="D27" s="182" t="n">
        <v>8</v>
      </c>
      <c r="E27" s="191" t="inlineStr">
        <is>
          <t>Pop</t>
        </is>
      </c>
      <c r="F27" s="192" t="inlineStr">
        <is>
          <t>Nicolae</t>
        </is>
      </c>
      <c r="G27" s="193" t="n">
        <v>1881112323851</v>
      </c>
      <c r="H27" s="74">
        <f>DATE(MID(G27,2,2),MID(G27,4,2),MID(G27,6,2))</f>
        <v/>
      </c>
      <c r="I27" s="193">
        <f>IF(MID(G27,1,1)="1","M","F")</f>
        <v/>
      </c>
      <c r="J27" s="194">
        <f>(YEAR(TODAY())-YEAR(H27))</f>
        <v/>
      </c>
      <c r="K27" s="74" t="n">
        <v>39509</v>
      </c>
      <c r="L27" s="194">
        <f>(YEAR(TODAY())-YEAR(K27))</f>
        <v/>
      </c>
      <c r="M27" s="192">
        <f>IF(J27&gt;30,"DA","NU")</f>
        <v/>
      </c>
      <c r="N27" s="192" t="inlineStr">
        <is>
          <t>Concierge</t>
        </is>
      </c>
      <c r="O27" s="195" t="n">
        <v>3500</v>
      </c>
      <c r="P27" s="196" t="n">
        <v>2</v>
      </c>
      <c r="Q27" s="4" t="n"/>
      <c r="R27" s="5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</row>
    <row r="28">
      <c r="A28" s="4" t="n"/>
      <c r="B28" s="5" t="n"/>
      <c r="C28" s="4" t="n"/>
      <c r="D28" s="182" t="n">
        <v>14</v>
      </c>
      <c r="E28" s="191" t="inlineStr">
        <is>
          <t>Barbu</t>
        </is>
      </c>
      <c r="F28" s="192" t="inlineStr">
        <is>
          <t>Adelina</t>
        </is>
      </c>
      <c r="G28" s="193" t="n">
        <v>2880214765214</v>
      </c>
      <c r="H28" s="74">
        <f>DATE(MID(G28,2,2),MID(G28,4,2),MID(G28,6,2))</f>
        <v/>
      </c>
      <c r="I28" s="193">
        <f>IF(MID(G28,1,1)="1","M","F")</f>
        <v/>
      </c>
      <c r="J28" s="194">
        <f>(YEAR(TODAY())-YEAR(H28))</f>
        <v/>
      </c>
      <c r="K28" s="74" t="n">
        <v>42158</v>
      </c>
      <c r="L28" s="194">
        <f>(YEAR(TODAY())-YEAR(K28))</f>
        <v/>
      </c>
      <c r="M28" s="192">
        <f>IF(J28&gt;30,"DA","NU")</f>
        <v/>
      </c>
      <c r="N28" s="192" t="inlineStr">
        <is>
          <t>Menaj</t>
        </is>
      </c>
      <c r="O28" s="195" t="n">
        <v>1500</v>
      </c>
      <c r="P28" s="196" t="n">
        <v>1</v>
      </c>
      <c r="Q28" s="4" t="n"/>
      <c r="R28" s="5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</row>
    <row r="29">
      <c r="A29" s="4" t="n"/>
      <c r="B29" s="5" t="n"/>
      <c r="C29" s="4" t="n"/>
      <c r="D29" s="182" t="n">
        <v>19</v>
      </c>
      <c r="E29" s="191" t="inlineStr">
        <is>
          <t>Iacob</t>
        </is>
      </c>
      <c r="F29" s="192" t="inlineStr">
        <is>
          <t>Leonard</t>
        </is>
      </c>
      <c r="G29" s="193" t="n">
        <v>1870610429939</v>
      </c>
      <c r="H29" s="74">
        <f>DATE(MID(G29,2,2),MID(G29,4,2),MID(G29,6,2))</f>
        <v/>
      </c>
      <c r="I29" s="193">
        <f>IF(MID(G29,1,1)="1","M","F")</f>
        <v/>
      </c>
      <c r="J29" s="194">
        <f>(YEAR(TODAY())-YEAR(H29))</f>
        <v/>
      </c>
      <c r="K29" s="74" t="n">
        <v>41526</v>
      </c>
      <c r="L29" s="194">
        <f>(YEAR(TODAY())-YEAR(K29))</f>
        <v/>
      </c>
      <c r="M29" s="192">
        <f>IF(J29&gt;30,"DA","NU")</f>
        <v/>
      </c>
      <c r="N29" s="192" t="inlineStr">
        <is>
          <t>Bucătar Șef</t>
        </is>
      </c>
      <c r="O29" s="195" t="n">
        <v>7500</v>
      </c>
      <c r="P29" s="196" t="n">
        <v>2</v>
      </c>
      <c r="Q29" s="4" t="n"/>
      <c r="R29" s="5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</row>
    <row r="30">
      <c r="A30" s="4" t="n"/>
      <c r="B30" s="5" t="n"/>
      <c r="C30" s="4" t="n"/>
      <c r="D30" s="182" t="n">
        <v>22</v>
      </c>
      <c r="E30" s="191" t="inlineStr">
        <is>
          <t>Silaghi</t>
        </is>
      </c>
      <c r="F30" s="192" t="inlineStr">
        <is>
          <t>Ovidiu</t>
        </is>
      </c>
      <c r="G30" s="193" t="n">
        <v>2870225121445</v>
      </c>
      <c r="H30" s="74">
        <f>DATE(MID(G30,2,2),MID(G30,4,2),MID(G30,6,2))</f>
        <v/>
      </c>
      <c r="I30" s="193">
        <f>IF(MID(G30,1,1)="1","M","F")</f>
        <v/>
      </c>
      <c r="J30" s="194">
        <f>(YEAR(TODAY())-YEAR(H30))</f>
        <v/>
      </c>
      <c r="K30" s="74" t="n">
        <v>43347</v>
      </c>
      <c r="L30" s="194">
        <f>(YEAR(TODAY())-YEAR(K30))</f>
        <v/>
      </c>
      <c r="M30" s="192">
        <f>IF(J30&gt;30,"DA","NU")</f>
        <v/>
      </c>
      <c r="N30" s="192" t="inlineStr">
        <is>
          <t>Ajutor Bucătar</t>
        </is>
      </c>
      <c r="O30" s="195" t="n">
        <v>2000</v>
      </c>
      <c r="P30" s="196" t="n">
        <v>2</v>
      </c>
      <c r="Q30" s="4" t="n"/>
      <c r="R30" s="5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</row>
    <row r="31">
      <c r="A31" s="4" t="n"/>
      <c r="B31" s="5" t="n"/>
      <c r="C31" s="4" t="n"/>
      <c r="D31" s="182" t="n">
        <v>37</v>
      </c>
      <c r="E31" s="197" t="inlineStr">
        <is>
          <t>Popescu</t>
        </is>
      </c>
      <c r="F31" s="192" t="inlineStr">
        <is>
          <t>Paul</t>
        </is>
      </c>
      <c r="G31" s="193" t="n">
        <v>1871230667667</v>
      </c>
      <c r="H31" s="74">
        <f>DATE(MID(G31,2,2),MID(G31,4,2),MID(G31,6,2))</f>
        <v/>
      </c>
      <c r="I31" s="193">
        <f>IF(MID(G31,1,1)="1","M","F")</f>
        <v/>
      </c>
      <c r="J31" s="194">
        <f>(YEAR(TODAY())-YEAR(H31))</f>
        <v/>
      </c>
      <c r="K31" s="74" t="n">
        <v>40941</v>
      </c>
      <c r="L31" s="194">
        <f>(YEAR(TODAY())-YEAR(K31))</f>
        <v/>
      </c>
      <c r="M31" s="192">
        <f>IF(J31&gt;30,"DA","NU")</f>
        <v/>
      </c>
      <c r="N31" s="192" t="inlineStr">
        <is>
          <t>Șofer</t>
        </is>
      </c>
      <c r="O31" s="195" t="n">
        <v>4500</v>
      </c>
      <c r="P31" s="196" t="n">
        <v>3</v>
      </c>
      <c r="Q31" s="4" t="n"/>
      <c r="R31" s="5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</row>
    <row r="32">
      <c r="A32" s="4" t="n"/>
      <c r="B32" s="5" t="n"/>
      <c r="C32" s="4" t="n"/>
      <c r="D32" s="182" t="n">
        <v>25</v>
      </c>
      <c r="E32" s="197" t="inlineStr">
        <is>
          <t>Popescu</t>
        </is>
      </c>
      <c r="F32" s="192" t="inlineStr">
        <is>
          <t>Ion</t>
        </is>
      </c>
      <c r="G32" s="193" t="n">
        <v>1860601214764</v>
      </c>
      <c r="H32" s="74">
        <f>DATE(MID(G32,2,2),MID(G32,4,2),MID(G32,6,2))</f>
        <v/>
      </c>
      <c r="I32" s="193">
        <f>IF(MID(G32,1,1)="1","M","F")</f>
        <v/>
      </c>
      <c r="J32" s="194">
        <f>(YEAR(TODAY())-YEAR(H32))</f>
        <v/>
      </c>
      <c r="K32" s="74" t="n">
        <v>43008</v>
      </c>
      <c r="L32" s="194">
        <f>(YEAR(TODAY())-YEAR(K32))</f>
        <v/>
      </c>
      <c r="M32" s="192">
        <f>IF(J32&gt;30,"DA","NU")</f>
        <v/>
      </c>
      <c r="N32" s="192" t="inlineStr">
        <is>
          <t>Șofer</t>
        </is>
      </c>
      <c r="O32" s="195" t="n">
        <v>3500</v>
      </c>
      <c r="P32" s="196" t="n">
        <v>1</v>
      </c>
      <c r="Q32" s="4" t="n"/>
      <c r="R32" s="5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</row>
    <row r="33">
      <c r="A33" s="4" t="n"/>
      <c r="B33" s="5" t="n"/>
      <c r="C33" s="4" t="n"/>
      <c r="D33" s="182" t="n">
        <v>5</v>
      </c>
      <c r="E33" s="191" t="inlineStr">
        <is>
          <t>Vlădescu</t>
        </is>
      </c>
      <c r="F33" s="192" t="inlineStr">
        <is>
          <t>Maria</t>
        </is>
      </c>
      <c r="G33" s="193" t="n">
        <v>2850226232525</v>
      </c>
      <c r="H33" s="74">
        <f>DATE(MID(G33,2,2),MID(G33,4,2),MID(G33,6,2))</f>
        <v/>
      </c>
      <c r="I33" s="193">
        <f>IF(MID(G33,1,1)="1","M","F")</f>
        <v/>
      </c>
      <c r="J33" s="194">
        <f>(YEAR(TODAY())-YEAR(H33))</f>
        <v/>
      </c>
      <c r="K33" s="74" t="n">
        <v>41733</v>
      </c>
      <c r="L33" s="194">
        <f>(YEAR(TODAY())-YEAR(K33))</f>
        <v/>
      </c>
      <c r="M33" s="192">
        <f>IF(J33&gt;30,"DA","NU")</f>
        <v/>
      </c>
      <c r="N33" s="192" t="inlineStr">
        <is>
          <t>Receptioner</t>
        </is>
      </c>
      <c r="O33" s="195" t="n">
        <v>2000</v>
      </c>
      <c r="P33" s="196" t="n">
        <v>1</v>
      </c>
      <c r="Q33" s="4" t="n"/>
      <c r="R33" s="5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</row>
    <row r="34">
      <c r="A34" s="4" t="n"/>
      <c r="B34" s="5" t="n"/>
      <c r="C34" s="4" t="n"/>
      <c r="D34" s="182" t="n">
        <v>6</v>
      </c>
      <c r="E34" s="191" t="inlineStr">
        <is>
          <t>Sima</t>
        </is>
      </c>
      <c r="F34" s="192" t="inlineStr">
        <is>
          <t>Alexandru</t>
        </is>
      </c>
      <c r="G34" s="193" t="n">
        <v>1851021345131</v>
      </c>
      <c r="H34" s="74">
        <f>DATE(MID(G34,2,2),MID(G34,4,2),MID(G34,6,2))</f>
        <v/>
      </c>
      <c r="I34" s="193">
        <f>IF(MID(G34,1,1)="1","M","F")</f>
        <v/>
      </c>
      <c r="J34" s="194">
        <f>(YEAR(TODAY())-YEAR(H34))</f>
        <v/>
      </c>
      <c r="K34" s="74" t="n">
        <v>42493</v>
      </c>
      <c r="L34" s="194">
        <f>(YEAR(TODAY())-YEAR(K34))</f>
        <v/>
      </c>
      <c r="M34" s="192">
        <f>IF(J34&gt;30,"DA","NU")</f>
        <v/>
      </c>
      <c r="N34" s="192" t="inlineStr">
        <is>
          <t>Concierge</t>
        </is>
      </c>
      <c r="O34" s="195" t="n">
        <v>1500</v>
      </c>
      <c r="P34" s="196" t="n">
        <v>2</v>
      </c>
      <c r="Q34" s="4" t="n"/>
      <c r="R34" s="5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</row>
    <row r="35">
      <c r="A35" s="4" t="n"/>
      <c r="B35" s="5" t="n"/>
      <c r="C35" s="4" t="n"/>
      <c r="D35" s="182" t="n">
        <v>24</v>
      </c>
      <c r="E35" s="191" t="inlineStr">
        <is>
          <t>Petrescu</t>
        </is>
      </c>
      <c r="F35" s="192" t="inlineStr">
        <is>
          <t>Raul</t>
        </is>
      </c>
      <c r="G35" s="193" t="n">
        <v>1850603113108</v>
      </c>
      <c r="H35" s="74">
        <f>DATE(MID(G35,2,2),MID(G35,4,2),MID(G35,6,2))</f>
        <v/>
      </c>
      <c r="I35" s="193">
        <f>IF(MID(G35,1,1)="1","M","F")</f>
        <v/>
      </c>
      <c r="J35" s="194">
        <f>(YEAR(TODAY())-YEAR(H35))</f>
        <v/>
      </c>
      <c r="K35" s="74" t="n">
        <v>42665</v>
      </c>
      <c r="L35" s="194">
        <f>(YEAR(TODAY())-YEAR(K35))</f>
        <v/>
      </c>
      <c r="M35" s="192">
        <f>IF(J35&gt;30,"DA","NU")</f>
        <v/>
      </c>
      <c r="N35" s="192" t="inlineStr">
        <is>
          <t>Ajutor Bucătar</t>
        </is>
      </c>
      <c r="O35" s="195" t="n">
        <v>2000</v>
      </c>
      <c r="P35" s="196" t="n">
        <v>2</v>
      </c>
      <c r="Q35" s="4" t="n"/>
      <c r="R35" s="5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</row>
    <row r="36">
      <c r="A36" s="4" t="n"/>
      <c r="B36" s="5" t="n"/>
      <c r="C36" s="4" t="n"/>
      <c r="D36" s="182" t="n">
        <v>32</v>
      </c>
      <c r="E36" s="197" t="inlineStr">
        <is>
          <t>Aldea</t>
        </is>
      </c>
      <c r="F36" s="192" t="inlineStr">
        <is>
          <t>Sorin</t>
        </is>
      </c>
      <c r="G36" s="193" t="n">
        <v>1850613142562</v>
      </c>
      <c r="H36" s="74">
        <f>DATE(MID(G36,2,2),MID(G36,4,2),MID(G36,6,2))</f>
        <v/>
      </c>
      <c r="I36" s="193">
        <f>IF(MID(G36,1,1)="1","M","F")</f>
        <v/>
      </c>
      <c r="J36" s="194">
        <f>(YEAR(TODAY())-YEAR(H36))</f>
        <v/>
      </c>
      <c r="K36" s="74" t="n">
        <v>43727</v>
      </c>
      <c r="L36" s="194">
        <f>(YEAR(TODAY())-YEAR(K36))</f>
        <v/>
      </c>
      <c r="M36" s="192">
        <f>IF(J36&gt;30,"DA","NU")</f>
        <v/>
      </c>
      <c r="N36" s="192" t="inlineStr">
        <is>
          <t>Șofer</t>
        </is>
      </c>
      <c r="O36" s="195" t="n">
        <v>2000</v>
      </c>
      <c r="P36" s="196" t="n">
        <v>2</v>
      </c>
      <c r="Q36" s="4" t="n"/>
      <c r="R36" s="5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</row>
    <row r="37">
      <c r="A37" s="4" t="n"/>
      <c r="B37" s="5" t="n"/>
      <c r="C37" s="4" t="n"/>
      <c r="D37" s="182" t="n">
        <v>33</v>
      </c>
      <c r="E37" s="197" t="inlineStr">
        <is>
          <t>Tănase</t>
        </is>
      </c>
      <c r="F37" s="192" t="inlineStr">
        <is>
          <t>Razvan</t>
        </is>
      </c>
      <c r="G37" s="193" t="n">
        <v>1830521237805</v>
      </c>
      <c r="H37" s="74">
        <f>DATE(MID(G37,2,2),MID(G37,4,2),MID(G37,6,2))</f>
        <v/>
      </c>
      <c r="I37" s="193">
        <f>IF(MID(G37,1,1)="1","M","F")</f>
        <v/>
      </c>
      <c r="J37" s="194">
        <f>(YEAR(TODAY())-YEAR(H37))</f>
        <v/>
      </c>
      <c r="K37" s="74" t="n">
        <v>43340</v>
      </c>
      <c r="L37" s="194">
        <f>(YEAR(TODAY())-YEAR(K37))</f>
        <v/>
      </c>
      <c r="M37" s="192">
        <f>IF(J37&gt;30,"DA","NU")</f>
        <v/>
      </c>
      <c r="N37" s="192" t="inlineStr">
        <is>
          <t>Șofer</t>
        </is>
      </c>
      <c r="O37" s="195" t="n">
        <v>2000</v>
      </c>
      <c r="P37" s="196" t="n">
        <v>1</v>
      </c>
      <c r="Q37" s="4" t="n"/>
      <c r="R37" s="5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</row>
    <row r="38">
      <c r="A38" s="4" t="n"/>
      <c r="B38" s="5" t="n"/>
      <c r="C38" s="4" t="n"/>
      <c r="D38" s="182" t="n">
        <v>2</v>
      </c>
      <c r="E38" s="191" t="inlineStr">
        <is>
          <t>Moldovan</t>
        </is>
      </c>
      <c r="F38" s="192" t="inlineStr">
        <is>
          <t>Teodor</t>
        </is>
      </c>
      <c r="G38" s="193" t="n">
        <v>1811009124376</v>
      </c>
      <c r="H38" s="74">
        <f>DATE(MID(G38,2,2),MID(G38,4,2),MID(G38,6,2))</f>
        <v/>
      </c>
      <c r="I38" s="193">
        <f>IF(MID(G38,1,1)="1","M","F")</f>
        <v/>
      </c>
      <c r="J38" s="194">
        <f>(YEAR(TODAY())-YEAR(H38))</f>
        <v/>
      </c>
      <c r="K38" s="74" t="n">
        <v>38142</v>
      </c>
      <c r="L38" s="194">
        <f>(YEAR(TODAY())-YEAR(K38))</f>
        <v/>
      </c>
      <c r="M38" s="192">
        <f>IF(J38&gt;30,"DA","NU")</f>
        <v/>
      </c>
      <c r="N38" s="192" t="inlineStr">
        <is>
          <t>Manager</t>
        </is>
      </c>
      <c r="O38" s="195" t="n">
        <v>8000</v>
      </c>
      <c r="P38" s="196" t="n"/>
      <c r="Q38" s="4" t="n"/>
      <c r="R38" s="5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</row>
    <row r="39">
      <c r="A39" s="4" t="n"/>
      <c r="B39" s="5" t="n"/>
      <c r="C39" s="4" t="n"/>
      <c r="D39" s="182" t="n">
        <v>38</v>
      </c>
      <c r="E39" s="197" t="inlineStr">
        <is>
          <t>Constantinescu</t>
        </is>
      </c>
      <c r="F39" s="192" t="inlineStr">
        <is>
          <t>Radu</t>
        </is>
      </c>
      <c r="G39" s="193" t="n">
        <v>1770404567890</v>
      </c>
      <c r="H39" s="74">
        <f>DATE(MID(G39,2,2),MID(G39,4,2),MID(G39,6,2))</f>
        <v/>
      </c>
      <c r="I39" s="193">
        <f>IF(MID(G39,1,1)="1","M","F")</f>
        <v/>
      </c>
      <c r="J39" s="194">
        <f>(YEAR(TODAY())-YEAR(H39))</f>
        <v/>
      </c>
      <c r="K39" s="74" t="n">
        <v>43286</v>
      </c>
      <c r="L39" s="194">
        <f>(YEAR(TODAY())-YEAR(K39))</f>
        <v/>
      </c>
      <c r="M39" s="192">
        <f>IF(J39&gt;30,"DA","NU")</f>
        <v/>
      </c>
      <c r="N39" s="192" t="inlineStr">
        <is>
          <t>Șofer</t>
        </is>
      </c>
      <c r="O39" s="195" t="n">
        <v>3500</v>
      </c>
      <c r="P39" s="196" t="n">
        <v>3</v>
      </c>
      <c r="Q39" s="4" t="n"/>
      <c r="R39" s="5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</row>
    <row r="40">
      <c r="A40" s="4" t="n"/>
      <c r="B40" s="5" t="n"/>
      <c r="C40" s="4" t="n"/>
      <c r="D40" s="182" t="n">
        <v>29</v>
      </c>
      <c r="E40" s="197" t="inlineStr">
        <is>
          <t>Rotar</t>
        </is>
      </c>
      <c r="F40" s="192" t="inlineStr">
        <is>
          <t>Robert</t>
        </is>
      </c>
      <c r="G40" s="193" t="n">
        <v>1741226097865</v>
      </c>
      <c r="H40" s="74">
        <f>DATE(MID(G40,2,2),MID(G40,4,2),MID(G40,6,2))</f>
        <v/>
      </c>
      <c r="I40" s="193">
        <f>IF(MID(G40,1,1)="1","M","F")</f>
        <v/>
      </c>
      <c r="J40" s="194">
        <f>(YEAR(TODAY())-YEAR(H40))</f>
        <v/>
      </c>
      <c r="K40" s="74" t="n">
        <v>41247</v>
      </c>
      <c r="L40" s="194">
        <f>(YEAR(TODAY())-YEAR(K40))</f>
        <v/>
      </c>
      <c r="M40" s="192">
        <f>IF(J40&gt;30,"DA","NU")</f>
        <v/>
      </c>
      <c r="N40" s="192" t="inlineStr">
        <is>
          <t>Șofer</t>
        </is>
      </c>
      <c r="O40" s="195" t="n">
        <v>4500</v>
      </c>
      <c r="P40" s="196" t="n">
        <v>1</v>
      </c>
      <c r="Q40" s="4" t="n"/>
      <c r="R40" s="5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</row>
    <row r="41">
      <c r="A41" s="4" t="n"/>
      <c r="B41" s="5" t="n"/>
      <c r="C41" s="4" t="n"/>
      <c r="D41" s="182" t="n">
        <v>9</v>
      </c>
      <c r="E41" s="191" t="inlineStr">
        <is>
          <t>Cristescu</t>
        </is>
      </c>
      <c r="F41" s="192" t="inlineStr">
        <is>
          <t>Radu</t>
        </is>
      </c>
      <c r="G41" s="193" t="n">
        <v>1731012436119</v>
      </c>
      <c r="H41" s="74">
        <f>DATE(MID(G41,2,2),MID(G41,4,2),MID(G41,6,2))</f>
        <v/>
      </c>
      <c r="I41" s="193">
        <f>IF(MID(G41,1,1)="1","M","F")</f>
        <v/>
      </c>
      <c r="J41" s="194">
        <f>(YEAR(TODAY())-YEAR(H41))</f>
        <v/>
      </c>
      <c r="K41" s="74" t="n">
        <v>40605</v>
      </c>
      <c r="L41" s="194">
        <f>(YEAR(TODAY())-YEAR(K41))</f>
        <v/>
      </c>
      <c r="M41" s="192">
        <f>IF(J41&gt;30,"DA","NU")</f>
        <v/>
      </c>
      <c r="N41" s="192" t="inlineStr">
        <is>
          <t>Bucătar Șef</t>
        </is>
      </c>
      <c r="O41" s="195" t="n">
        <v>7500</v>
      </c>
      <c r="P41" s="196" t="n">
        <v>1</v>
      </c>
      <c r="Q41" s="4" t="n"/>
      <c r="R41" s="5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</row>
    <row r="42" ht="17" customHeight="1" s="3" thickBot="1">
      <c r="A42" s="4" t="n"/>
      <c r="B42" s="5" t="n"/>
      <c r="C42" s="4" t="n"/>
      <c r="D42" s="183" t="n">
        <v>3</v>
      </c>
      <c r="E42" s="198" t="inlineStr">
        <is>
          <t>Muntean</t>
        </is>
      </c>
      <c r="F42" s="199" t="inlineStr">
        <is>
          <t>Daniela</t>
        </is>
      </c>
      <c r="G42" s="200" t="n">
        <v>2691104987123</v>
      </c>
      <c r="H42" s="201">
        <f>DATE(MID(G42,2,2),MID(G42,4,2),MID(G42,6,2))</f>
        <v/>
      </c>
      <c r="I42" s="200">
        <f>IF(MID(G42,1,1)="1","M","F")</f>
        <v/>
      </c>
      <c r="J42" s="202">
        <f>(YEAR(TODAY())-YEAR(H42))</f>
        <v/>
      </c>
      <c r="K42" s="201" t="n">
        <v>40079</v>
      </c>
      <c r="L42" s="202">
        <f>(YEAR(TODAY())-YEAR(K42))</f>
        <v/>
      </c>
      <c r="M42" s="199">
        <f>IF(J42&gt;30,"DA","NU")</f>
        <v/>
      </c>
      <c r="N42" s="199" t="inlineStr">
        <is>
          <t>Menaj</t>
        </is>
      </c>
      <c r="O42" s="203" t="n">
        <v>1000</v>
      </c>
      <c r="P42" s="204" t="n">
        <v>1</v>
      </c>
      <c r="Q42" s="4" t="n"/>
      <c r="R42" s="5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  <c r="AR42" s="4" t="n"/>
      <c r="AS42" s="4" t="n"/>
      <c r="AT42" s="4" t="n"/>
      <c r="AU42" s="4" t="n"/>
      <c r="AV42" s="4" t="n"/>
      <c r="AW42" s="4" t="n"/>
    </row>
    <row r="43">
      <c r="A43" s="4" t="n"/>
      <c r="B43" s="5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5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  <c r="AR43" s="4" t="n"/>
      <c r="AS43" s="4" t="n"/>
      <c r="AT43" s="4" t="n"/>
      <c r="AU43" s="4" t="n"/>
      <c r="AV43" s="4" t="n"/>
      <c r="AW43" s="4" t="n"/>
    </row>
    <row r="44">
      <c r="A44" s="4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4" t="n"/>
      <c r="AS44" s="4" t="n"/>
      <c r="AT44" s="4" t="n"/>
      <c r="AU44" s="4" t="n"/>
      <c r="AV44" s="4" t="n"/>
      <c r="AW44" s="4" t="n"/>
    </row>
    <row r="45">
      <c r="A45" s="4" t="n"/>
      <c r="B45" s="4" t="n"/>
      <c r="C45" s="4" t="n"/>
      <c r="D45" s="4" t="n"/>
      <c r="E45" s="4" t="n"/>
      <c r="F45" s="211" t="inlineStr">
        <is>
          <t>Total salarii/lună</t>
        </is>
      </c>
      <c r="G45" s="136" t="n"/>
      <c r="H45" s="212">
        <f>SUM(O5:O42)</f>
        <v/>
      </c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  <c r="AN45" s="4" t="n"/>
      <c r="AO45" s="4" t="n"/>
      <c r="AP45" s="4" t="n"/>
      <c r="AQ45" s="4" t="n"/>
      <c r="AR45" s="4" t="n"/>
      <c r="AS45" s="4" t="n"/>
      <c r="AT45" s="4" t="n"/>
      <c r="AU45" s="4" t="n"/>
      <c r="AV45" s="4" t="n"/>
      <c r="AW45" s="4" t="n"/>
    </row>
    <row r="46" ht="17" customHeight="1" s="3" thickBot="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  <c r="AL46" s="4" t="n"/>
      <c r="AM46" s="4" t="n"/>
      <c r="AN46" s="4" t="n"/>
      <c r="AO46" s="4" t="n"/>
      <c r="AP46" s="4" t="n"/>
      <c r="AQ46" s="4" t="n"/>
      <c r="AR46" s="4" t="n"/>
      <c r="AS46" s="4" t="n"/>
      <c r="AT46" s="4" t="n"/>
      <c r="AU46" s="4" t="n"/>
      <c r="AV46" s="4" t="n"/>
      <c r="AW46" s="4" t="n"/>
    </row>
    <row r="47" ht="17" customHeight="1" s="3" thickTop="1">
      <c r="A47" s="4" t="n"/>
      <c r="B47" s="4" t="n"/>
      <c r="C47" s="4" t="n"/>
      <c r="D47" s="4" t="n"/>
      <c r="E47" s="4" t="n"/>
      <c r="F47" s="205" t="inlineStr">
        <is>
          <t>Angajați femei</t>
        </is>
      </c>
      <c r="G47" s="206" t="inlineStr">
        <is>
          <t>Angajați bărbați</t>
        </is>
      </c>
      <c r="H47" s="206" t="n"/>
      <c r="I47" s="206" t="inlineStr">
        <is>
          <t>Vârstă sub 30</t>
        </is>
      </c>
      <c r="J47" s="207" t="inlineStr">
        <is>
          <t>Vârstă peste 30</t>
        </is>
      </c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4" t="n"/>
      <c r="AS47" s="4" t="n"/>
      <c r="AT47" s="4" t="n"/>
      <c r="AU47" s="4" t="n"/>
      <c r="AV47" s="4" t="n"/>
      <c r="AW47" s="4" t="n"/>
    </row>
    <row r="48" ht="17" customHeight="1" s="3" thickBot="1">
      <c r="A48" s="4" t="n"/>
      <c r="B48" s="4" t="n"/>
      <c r="C48" s="4" t="n"/>
      <c r="D48" s="4" t="n"/>
      <c r="E48" s="4" t="n"/>
      <c r="F48" s="208">
        <f>COUNTIF(I5:I42,I42)</f>
        <v/>
      </c>
      <c r="G48" s="209">
        <f>COUNTIF(I5:I42,I41)</f>
        <v/>
      </c>
      <c r="H48" s="209" t="n"/>
      <c r="I48" s="209">
        <f>COUNTIF(M5:M42,M20)</f>
        <v/>
      </c>
      <c r="J48" s="210">
        <f>COUNTIF(M5:M42,M41)</f>
        <v/>
      </c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  <c r="AL48" s="4" t="n"/>
      <c r="AM48" s="4" t="n"/>
      <c r="AN48" s="4" t="n"/>
      <c r="AO48" s="4" t="n"/>
      <c r="AP48" s="4" t="n"/>
      <c r="AQ48" s="4" t="n"/>
      <c r="AR48" s="4" t="n"/>
      <c r="AS48" s="4" t="n"/>
      <c r="AT48" s="4" t="n"/>
      <c r="AU48" s="4" t="n"/>
      <c r="AV48" s="4" t="n"/>
      <c r="AW48" s="4" t="n"/>
    </row>
    <row r="49" ht="17" customHeight="1" s="3" thickTop="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4" t="n"/>
      <c r="AS49" s="4" t="n"/>
      <c r="AT49" s="4" t="n"/>
      <c r="AU49" s="4" t="n"/>
      <c r="AV49" s="4" t="n"/>
      <c r="AW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  <c r="AL50" s="4" t="n"/>
      <c r="AM50" s="4" t="n"/>
      <c r="AN50" s="4" t="n"/>
      <c r="AO50" s="4" t="n"/>
      <c r="AP50" s="4" t="n"/>
      <c r="AQ50" s="4" t="n"/>
      <c r="AR50" s="4" t="n"/>
      <c r="AS50" s="4" t="n"/>
      <c r="AT50" s="4" t="n"/>
      <c r="AU50" s="4" t="n"/>
      <c r="AV50" s="4" t="n"/>
      <c r="AW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L51" s="4" t="n"/>
      <c r="AM51" s="4" t="n"/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4" t="n"/>
      <c r="AS57" s="4" t="n"/>
      <c r="AT57" s="4" t="n"/>
      <c r="AU57" s="4" t="n"/>
      <c r="AV57" s="4" t="n"/>
      <c r="AW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4" t="n"/>
      <c r="AS58" s="4" t="n"/>
      <c r="AT58" s="4" t="n"/>
      <c r="AU58" s="4" t="n"/>
      <c r="AV58" s="4" t="n"/>
      <c r="AW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  <c r="AM59" s="4" t="n"/>
      <c r="AN59" s="4" t="n"/>
      <c r="AO59" s="4" t="n"/>
      <c r="AP59" s="4" t="n"/>
      <c r="AQ59" s="4" t="n"/>
      <c r="AR59" s="4" t="n"/>
      <c r="AS59" s="4" t="n"/>
      <c r="AT59" s="4" t="n"/>
      <c r="AU59" s="4" t="n"/>
      <c r="AV59" s="4" t="n"/>
      <c r="AW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  <c r="AR60" s="4" t="n"/>
      <c r="AS60" s="4" t="n"/>
      <c r="AT60" s="4" t="n"/>
      <c r="AU60" s="4" t="n"/>
      <c r="AV60" s="4" t="n"/>
      <c r="AW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  <c r="AR61" s="4" t="n"/>
      <c r="AS61" s="4" t="n"/>
      <c r="AT61" s="4" t="n"/>
      <c r="AU61" s="4" t="n"/>
      <c r="AV61" s="4" t="n"/>
      <c r="AW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  <c r="AL62" s="4" t="n"/>
      <c r="AM62" s="4" t="n"/>
      <c r="AN62" s="4" t="n"/>
      <c r="AO62" s="4" t="n"/>
      <c r="AP62" s="4" t="n"/>
      <c r="AQ62" s="4" t="n"/>
      <c r="AR62" s="4" t="n"/>
      <c r="AS62" s="4" t="n"/>
      <c r="AT62" s="4" t="n"/>
      <c r="AU62" s="4" t="n"/>
      <c r="AV62" s="4" t="n"/>
      <c r="AW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4" t="n"/>
      <c r="AS63" s="4" t="n"/>
      <c r="AT63" s="4" t="n"/>
      <c r="AU63" s="4" t="n"/>
      <c r="AV63" s="4" t="n"/>
      <c r="AW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  <c r="AR64" s="4" t="n"/>
      <c r="AS64" s="4" t="n"/>
      <c r="AT64" s="4" t="n"/>
      <c r="AU64" s="4" t="n"/>
      <c r="AV64" s="4" t="n"/>
      <c r="AW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n"/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  <c r="AM72" s="4" t="n"/>
      <c r="AN72" s="4" t="n"/>
      <c r="AO72" s="4" t="n"/>
      <c r="AP72" s="4" t="n"/>
      <c r="AQ72" s="4" t="n"/>
      <c r="AR72" s="4" t="n"/>
      <c r="AS72" s="4" t="n"/>
      <c r="AT72" s="4" t="n"/>
      <c r="AU72" s="4" t="n"/>
      <c r="AV72" s="4" t="n"/>
      <c r="AW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  <c r="AR74" s="4" t="n"/>
      <c r="AS74" s="4" t="n"/>
      <c r="AT74" s="4" t="n"/>
      <c r="AU74" s="4" t="n"/>
      <c r="AV74" s="4" t="n"/>
      <c r="AW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  <c r="AL75" s="4" t="n"/>
      <c r="AM75" s="4" t="n"/>
      <c r="AN75" s="4" t="n"/>
      <c r="AO75" s="4" t="n"/>
      <c r="AP75" s="4" t="n"/>
      <c r="AQ75" s="4" t="n"/>
      <c r="AR75" s="4" t="n"/>
      <c r="AS75" s="4" t="n"/>
      <c r="AT75" s="4" t="n"/>
      <c r="AU75" s="4" t="n"/>
      <c r="AV75" s="4" t="n"/>
      <c r="AW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4" t="n"/>
      <c r="AS76" s="4" t="n"/>
      <c r="AT76" s="4" t="n"/>
      <c r="AU76" s="4" t="n"/>
      <c r="AV76" s="4" t="n"/>
      <c r="AW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  <c r="AR77" s="4" t="n"/>
      <c r="AS77" s="4" t="n"/>
      <c r="AT77" s="4" t="n"/>
      <c r="AU77" s="4" t="n"/>
      <c r="AV77" s="4" t="n"/>
      <c r="AW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  <c r="AL78" s="4" t="n"/>
      <c r="AM78" s="4" t="n"/>
      <c r="AN78" s="4" t="n"/>
      <c r="AO78" s="4" t="n"/>
      <c r="AP78" s="4" t="n"/>
      <c r="AQ78" s="4" t="n"/>
      <c r="AR78" s="4" t="n"/>
      <c r="AS78" s="4" t="n"/>
      <c r="AT78" s="4" t="n"/>
      <c r="AU78" s="4" t="n"/>
      <c r="AV78" s="4" t="n"/>
      <c r="AW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  <c r="AM79" s="4" t="n"/>
      <c r="AN79" s="4" t="n"/>
      <c r="AO79" s="4" t="n"/>
      <c r="AP79" s="4" t="n"/>
      <c r="AQ79" s="4" t="n"/>
      <c r="AR79" s="4" t="n"/>
      <c r="AS79" s="4" t="n"/>
      <c r="AT79" s="4" t="n"/>
      <c r="AU79" s="4" t="n"/>
      <c r="AV79" s="4" t="n"/>
      <c r="AW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4" t="n"/>
      <c r="AS80" s="4" t="n"/>
      <c r="AT80" s="4" t="n"/>
      <c r="AU80" s="4" t="n"/>
      <c r="AV80" s="4" t="n"/>
      <c r="AW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  <c r="AM81" s="4" t="n"/>
      <c r="AN81" s="4" t="n"/>
      <c r="AO81" s="4" t="n"/>
      <c r="AP81" s="4" t="n"/>
      <c r="AQ81" s="4" t="n"/>
      <c r="AR81" s="4" t="n"/>
      <c r="AS81" s="4" t="n"/>
      <c r="AT81" s="4" t="n"/>
      <c r="AU81" s="4" t="n"/>
      <c r="AV81" s="4" t="n"/>
      <c r="AW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  <c r="AQ82" s="4" t="n"/>
      <c r="AR82" s="4" t="n"/>
      <c r="AS82" s="4" t="n"/>
      <c r="AT82" s="4" t="n"/>
      <c r="AU82" s="4" t="n"/>
      <c r="AV82" s="4" t="n"/>
      <c r="AW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  <c r="AM83" s="4" t="n"/>
      <c r="AN83" s="4" t="n"/>
      <c r="AO83" s="4" t="n"/>
      <c r="AP83" s="4" t="n"/>
      <c r="AQ83" s="4" t="n"/>
      <c r="AR83" s="4" t="n"/>
      <c r="AS83" s="4" t="n"/>
      <c r="AT83" s="4" t="n"/>
      <c r="AU83" s="4" t="n"/>
      <c r="AV83" s="4" t="n"/>
      <c r="AW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  <c r="AQ84" s="4" t="n"/>
      <c r="AR84" s="4" t="n"/>
      <c r="AS84" s="4" t="n"/>
      <c r="AT84" s="4" t="n"/>
      <c r="AU84" s="4" t="n"/>
      <c r="AV84" s="4" t="n"/>
      <c r="AW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  <c r="AR85" s="4" t="n"/>
      <c r="AS85" s="4" t="n"/>
      <c r="AT85" s="4" t="n"/>
      <c r="AU85" s="4" t="n"/>
      <c r="AV85" s="4" t="n"/>
      <c r="AW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4" t="n"/>
      <c r="AS86" s="4" t="n"/>
      <c r="AT86" s="4" t="n"/>
      <c r="AU86" s="4" t="n"/>
      <c r="AV86" s="4" t="n"/>
      <c r="AW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  <c r="AR87" s="4" t="n"/>
      <c r="AS87" s="4" t="n"/>
      <c r="AT87" s="4" t="n"/>
      <c r="AU87" s="4" t="n"/>
      <c r="AV87" s="4" t="n"/>
      <c r="AW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4" t="n"/>
    </row>
  </sheetData>
  <conditionalFormatting sqref="O5:O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sqref="G5:G42" showDropDown="0" showInputMessage="1" showErrorMessage="1" allowBlank="1" errorTitle="ERROR" promptTitle="INFO" prompt="Minim 13 caractere" type="whole" operator="equal">
      <formula1>13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2020-01-01T10:21:30Z</dcterms:created>
  <dcterms:modified xmlns:dcterms="http://purl.org/dc/terms/" xmlns:xsi="http://www.w3.org/2001/XMLSchema-instance" xsi:type="dcterms:W3CDTF">2026-02-06T17:45:55Z</dcterms:modified>
  <cp:lastModifiedBy>Microsoft Office User</cp:lastModifiedBy>
</cp:coreProperties>
</file>