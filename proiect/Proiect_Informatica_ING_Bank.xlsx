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media/image13.jpg" ContentType="image/gif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 6\Desktop\ANAA\INFORMATICA\1 PROIECT\MODELE PROIECT\"/>
    </mc:Choice>
  </mc:AlternateContent>
  <workbookProtection lockStructure="1"/>
  <bookViews>
    <workbookView xWindow="0" yWindow="0" windowWidth="23040" windowHeight="9384"/>
  </bookViews>
  <sheets>
    <sheet name="Acasa" sheetId="1" r:id="rId1"/>
    <sheet name="ING" sheetId="2" r:id="rId2"/>
    <sheet name="Structura" sheetId="3" r:id="rId3"/>
    <sheet name="Ore clienti" sheetId="4" r:id="rId4"/>
    <sheet name="Credite" sheetId="5" r:id="rId5"/>
    <sheet name="Plan Cladire" sheetId="6" r:id="rId6"/>
    <sheet name="Curs Valutar" sheetId="7" r:id="rId7"/>
    <sheet name="Bilant Salarii" sheetId="8" r:id="rId8"/>
    <sheet name="Subtotal tabel credite" sheetId="10" r:id="rId9"/>
    <sheet name="Import clienti txt" sheetId="11" r:id="rId10"/>
    <sheet name="Tableta Pivot" sheetId="13" r:id="rId11"/>
  </sheets>
  <definedNames>
    <definedName name="_xlnm._FilterDatabase" localSheetId="0" hidden="1">Acasa!$A$4:$A$6</definedName>
    <definedName name="_xlnm._FilterDatabase" localSheetId="7" hidden="1">'Bilant Salarii'!$A$3:$B$20</definedName>
    <definedName name="_xlnm._FilterDatabase" localSheetId="4" hidden="1">Credite!$A$3:$B$26</definedName>
    <definedName name="_xlnm._FilterDatabase" localSheetId="9" hidden="1">'Import clienti txt'!$A$3:$N$26</definedName>
    <definedName name="_xlnm._FilterDatabase" localSheetId="2" hidden="1">Structura!$A$5:$A$22</definedName>
    <definedName name="angajati">Structura!$A$5:$N$22</definedName>
    <definedName name="clienti_ing_import" localSheetId="9">'Import clienti txt'!$A$3:$O$29</definedName>
    <definedName name="fundal_sheet_orepopulate">'Ore clienti'!$A$1:$U$37</definedName>
    <definedName name="Management_Team">Structura!$B$1:$Z$134</definedName>
    <definedName name="SalariuNet">'Bilant Salarii'!$I$4:$I$20</definedName>
    <definedName name="ValoareFinala">Credite!$I$4:$I$26</definedName>
  </definedNames>
  <calcPr calcId="15251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0" l="1"/>
  <c r="C35" i="10"/>
  <c r="C32" i="10"/>
  <c r="C29" i="10"/>
  <c r="C25" i="10"/>
  <c r="C22" i="10"/>
  <c r="C20" i="10"/>
  <c r="C16" i="10"/>
  <c r="C11" i="10"/>
  <c r="C9" i="10"/>
  <c r="C6" i="10"/>
  <c r="F19" i="10"/>
  <c r="F5" i="10"/>
  <c r="F31" i="10"/>
  <c r="F28" i="10"/>
  <c r="F27" i="10"/>
  <c r="F24" i="10"/>
  <c r="F15" i="10"/>
  <c r="F21" i="10"/>
  <c r="F36" i="10"/>
  <c r="F14" i="10"/>
  <c r="F10" i="10"/>
  <c r="F13" i="10"/>
  <c r="F18" i="10"/>
  <c r="F30" i="10"/>
  <c r="F4" i="10"/>
  <c r="F23" i="10"/>
  <c r="F17" i="10"/>
  <c r="F34" i="10"/>
  <c r="F12" i="10"/>
  <c r="F26" i="10"/>
  <c r="F33" i="10"/>
  <c r="F8" i="10"/>
  <c r="F7" i="10"/>
  <c r="C38" i="10" l="1"/>
  <c r="G25" i="5"/>
  <c r="A21" i="1" l="1"/>
  <c r="F34" i="5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4" i="8"/>
  <c r="F4" i="5" l="1"/>
  <c r="E10" i="4" l="1"/>
  <c r="E4" i="8" l="1"/>
  <c r="E5" i="8" l="1"/>
  <c r="I5" i="8" s="1"/>
  <c r="E6" i="8"/>
  <c r="I6" i="8" s="1"/>
  <c r="E7" i="8"/>
  <c r="I7" i="8" s="1"/>
  <c r="E8" i="8"/>
  <c r="I8" i="8" s="1"/>
  <c r="E9" i="8"/>
  <c r="I9" i="8" s="1"/>
  <c r="E10" i="8"/>
  <c r="I10" i="8" s="1"/>
  <c r="E11" i="8"/>
  <c r="I11" i="8" s="1"/>
  <c r="E12" i="8"/>
  <c r="I12" i="8" s="1"/>
  <c r="E13" i="8"/>
  <c r="I13" i="8" s="1"/>
  <c r="E14" i="8"/>
  <c r="I14" i="8" s="1"/>
  <c r="E15" i="8"/>
  <c r="I15" i="8" s="1"/>
  <c r="E16" i="8"/>
  <c r="I16" i="8" s="1"/>
  <c r="E17" i="8"/>
  <c r="I17" i="8" s="1"/>
  <c r="E18" i="8"/>
  <c r="I18" i="8" s="1"/>
  <c r="D24" i="8" s="1"/>
  <c r="E19" i="8"/>
  <c r="I19" i="8" s="1"/>
  <c r="E20" i="8"/>
  <c r="I20" i="8" s="1"/>
  <c r="I4" i="8"/>
  <c r="D27" i="8" l="1"/>
  <c r="D28" i="8"/>
  <c r="D25" i="8"/>
  <c r="D26" i="8" s="1"/>
  <c r="F29" i="5"/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6" i="5"/>
  <c r="G4" i="5"/>
  <c r="N6" i="3" l="1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F6" i="3"/>
  <c r="F7" i="3"/>
  <c r="G7" i="3" s="1"/>
  <c r="F8" i="3"/>
  <c r="G8" i="3" s="1"/>
  <c r="F9" i="3"/>
  <c r="G9" i="3" s="1"/>
  <c r="F10" i="3"/>
  <c r="G10" i="3" s="1"/>
  <c r="F11" i="3"/>
  <c r="G11" i="3" s="1"/>
  <c r="F12" i="3"/>
  <c r="F13" i="3"/>
  <c r="F14" i="3"/>
  <c r="G14" i="3" s="1"/>
  <c r="F15" i="3"/>
  <c r="G15" i="3" s="1"/>
  <c r="F16" i="3"/>
  <c r="G16" i="3" s="1"/>
  <c r="F17" i="3"/>
  <c r="G17" i="3" s="1"/>
  <c r="F18" i="3"/>
  <c r="G18" i="3" s="1"/>
  <c r="F19" i="3"/>
  <c r="F20" i="3"/>
  <c r="G20" i="3" s="1"/>
  <c r="H20" i="3" s="1"/>
  <c r="F21" i="3"/>
  <c r="F22" i="3"/>
  <c r="G22" i="3" s="1"/>
  <c r="H22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L47" i="3" l="1"/>
  <c r="N47" i="3" s="1"/>
  <c r="G12" i="3"/>
  <c r="M48" i="3" s="1"/>
  <c r="L48" i="3"/>
  <c r="N48" i="3" s="1"/>
  <c r="G19" i="3"/>
  <c r="H19" i="3" s="1"/>
  <c r="L49" i="3"/>
  <c r="N49" i="3" s="1"/>
  <c r="G6" i="3"/>
  <c r="M47" i="3" s="1"/>
  <c r="G21" i="3"/>
  <c r="H21" i="3" s="1"/>
  <c r="L51" i="3"/>
  <c r="N51" i="3" s="1"/>
  <c r="G13" i="3"/>
  <c r="M50" i="3" s="1"/>
  <c r="L50" i="3"/>
  <c r="N50" i="3" s="1"/>
  <c r="H16" i="3"/>
  <c r="H8" i="3"/>
  <c r="H7" i="3"/>
  <c r="H15" i="3"/>
  <c r="H11" i="3"/>
  <c r="H18" i="3"/>
  <c r="H14" i="3"/>
  <c r="H10" i="3"/>
  <c r="H17" i="3"/>
  <c r="H9" i="3"/>
  <c r="L28" i="3"/>
  <c r="L27" i="3"/>
  <c r="F33" i="5"/>
  <c r="F30" i="5"/>
  <c r="F32" i="5"/>
  <c r="M51" i="3" l="1"/>
  <c r="O51" i="3" s="1"/>
  <c r="M49" i="3"/>
  <c r="O49" i="3" s="1"/>
  <c r="O50" i="3"/>
  <c r="H13" i="3"/>
  <c r="O48" i="3"/>
  <c r="H12" i="3"/>
  <c r="O47" i="3"/>
  <c r="H6" i="3"/>
  <c r="I5" i="5"/>
  <c r="N5" i="5" s="1"/>
  <c r="I6" i="5"/>
  <c r="N6" i="5" s="1"/>
  <c r="I7" i="5"/>
  <c r="N7" i="5" s="1"/>
  <c r="I8" i="5"/>
  <c r="N8" i="5" s="1"/>
  <c r="I9" i="5"/>
  <c r="N9" i="5" s="1"/>
  <c r="I10" i="5"/>
  <c r="N10" i="5" s="1"/>
  <c r="I11" i="5"/>
  <c r="N11" i="5" s="1"/>
  <c r="I12" i="5"/>
  <c r="N12" i="5" s="1"/>
  <c r="I13" i="5"/>
  <c r="N13" i="5" s="1"/>
  <c r="I14" i="5"/>
  <c r="N14" i="5" s="1"/>
  <c r="I15" i="5"/>
  <c r="N15" i="5" s="1"/>
  <c r="I16" i="5"/>
  <c r="N16" i="5" s="1"/>
  <c r="I17" i="5"/>
  <c r="N17" i="5" s="1"/>
  <c r="I18" i="5"/>
  <c r="N18" i="5" s="1"/>
  <c r="I19" i="5"/>
  <c r="N19" i="5" s="1"/>
  <c r="I20" i="5"/>
  <c r="N20" i="5" s="1"/>
  <c r="I21" i="5"/>
  <c r="N21" i="5" s="1"/>
  <c r="I22" i="5"/>
  <c r="N22" i="5" s="1"/>
  <c r="I23" i="5"/>
  <c r="N23" i="5" s="1"/>
  <c r="I24" i="5"/>
  <c r="N24" i="5" s="1"/>
  <c r="I25" i="5"/>
  <c r="N25" i="5" s="1"/>
  <c r="I26" i="5"/>
  <c r="N26" i="5" s="1"/>
  <c r="I4" i="5"/>
  <c r="O20" i="5" l="1"/>
  <c r="P20" i="5"/>
  <c r="P12" i="5"/>
  <c r="O12" i="5"/>
  <c r="F38" i="5"/>
  <c r="L4" i="5"/>
  <c r="N4" i="5"/>
  <c r="P19" i="5"/>
  <c r="O19" i="5"/>
  <c r="P7" i="5"/>
  <c r="O7" i="5"/>
  <c r="O22" i="5"/>
  <c r="P22" i="5"/>
  <c r="P18" i="5"/>
  <c r="O18" i="5"/>
  <c r="P14" i="5"/>
  <c r="O14" i="5"/>
  <c r="O10" i="5"/>
  <c r="P10" i="5"/>
  <c r="O6" i="5"/>
  <c r="P6" i="5"/>
  <c r="O24" i="5"/>
  <c r="P24" i="5"/>
  <c r="P16" i="5"/>
  <c r="O16" i="5"/>
  <c r="O8" i="5"/>
  <c r="P8" i="5"/>
  <c r="P23" i="5"/>
  <c r="O23" i="5"/>
  <c r="P15" i="5"/>
  <c r="O15" i="5"/>
  <c r="P11" i="5"/>
  <c r="O11" i="5"/>
  <c r="O26" i="5"/>
  <c r="P26" i="5"/>
  <c r="O25" i="5"/>
  <c r="P25" i="5"/>
  <c r="P21" i="5"/>
  <c r="O21" i="5"/>
  <c r="O17" i="5"/>
  <c r="P17" i="5"/>
  <c r="O13" i="5"/>
  <c r="P13" i="5"/>
  <c r="O9" i="5"/>
  <c r="P9" i="5"/>
  <c r="P5" i="5"/>
  <c r="O5" i="5"/>
  <c r="L15" i="5"/>
  <c r="F36" i="5"/>
  <c r="L24" i="5"/>
  <c r="M24" i="5"/>
  <c r="L20" i="5"/>
  <c r="M20" i="5"/>
  <c r="L16" i="5"/>
  <c r="M16" i="5"/>
  <c r="L12" i="5"/>
  <c r="M12" i="5"/>
  <c r="L8" i="5"/>
  <c r="M8" i="5"/>
  <c r="F37" i="5"/>
  <c r="M4" i="5"/>
  <c r="M23" i="5"/>
  <c r="L23" i="5"/>
  <c r="M19" i="5"/>
  <c r="L19" i="5"/>
  <c r="M15" i="5"/>
  <c r="M11" i="5"/>
  <c r="L11" i="5"/>
  <c r="M7" i="5"/>
  <c r="L7" i="5"/>
  <c r="L26" i="5"/>
  <c r="M26" i="5"/>
  <c r="M22" i="5"/>
  <c r="L22" i="5"/>
  <c r="M18" i="5"/>
  <c r="L18" i="5"/>
  <c r="L14" i="5"/>
  <c r="M14" i="5"/>
  <c r="M10" i="5"/>
  <c r="L10" i="5"/>
  <c r="L6" i="5"/>
  <c r="M6" i="5"/>
  <c r="L25" i="5"/>
  <c r="M25" i="5"/>
  <c r="L21" i="5"/>
  <c r="M21" i="5"/>
  <c r="L17" i="5"/>
  <c r="M17" i="5"/>
  <c r="L13" i="5"/>
  <c r="M13" i="5"/>
  <c r="L9" i="5"/>
  <c r="M9" i="5"/>
  <c r="L5" i="5"/>
  <c r="M5" i="5"/>
  <c r="I28" i="5"/>
  <c r="F31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5" i="5"/>
  <c r="F6" i="5"/>
  <c r="F7" i="5"/>
  <c r="F8" i="5"/>
  <c r="F9" i="5"/>
  <c r="P4" i="5" l="1"/>
  <c r="F42" i="5" s="1"/>
  <c r="O4" i="5"/>
  <c r="F41" i="5" s="1"/>
  <c r="F40" i="5"/>
  <c r="F39" i="5"/>
  <c r="J24" i="5"/>
  <c r="J4" i="5"/>
  <c r="J17" i="5"/>
  <c r="J20" i="5"/>
  <c r="J23" i="5"/>
  <c r="J21" i="5"/>
  <c r="J6" i="5"/>
  <c r="J8" i="5"/>
  <c r="J9" i="5"/>
  <c r="J25" i="5"/>
  <c r="J10" i="5"/>
  <c r="J7" i="5"/>
  <c r="J16" i="5"/>
  <c r="J11" i="5"/>
  <c r="J18" i="5"/>
  <c r="J5" i="5"/>
  <c r="J19" i="5"/>
  <c r="J22" i="5"/>
  <c r="J13" i="5"/>
  <c r="J26" i="5"/>
  <c r="J12" i="5"/>
  <c r="J14" i="5"/>
  <c r="J15" i="5"/>
  <c r="F35" i="5"/>
  <c r="F10" i="4"/>
  <c r="I10" i="4"/>
  <c r="H10" i="4"/>
  <c r="G10" i="4"/>
</calcChain>
</file>

<file path=xl/comments1.xml><?xml version="1.0" encoding="utf-8"?>
<comments xmlns="http://schemas.openxmlformats.org/spreadsheetml/2006/main">
  <authors>
    <author>Hp</author>
  </authors>
  <commentList>
    <comment ref="D2" authorId="0" shapeId="0">
      <text>
        <r>
          <rPr>
            <b/>
            <sz val="10"/>
            <color indexed="81"/>
            <rFont val="Arial"/>
            <family val="2"/>
          </rPr>
          <t>Telefon</t>
        </r>
        <r>
          <rPr>
            <sz val="10"/>
            <color indexed="81"/>
            <rFont val="Arial"/>
            <family val="2"/>
          </rPr>
          <t xml:space="preserve">: *2464
             031.406.2464
</t>
        </r>
        <r>
          <rPr>
            <b/>
            <sz val="10"/>
            <color indexed="81"/>
            <rFont val="Arial"/>
            <family val="2"/>
          </rPr>
          <t>Mail</t>
        </r>
        <r>
          <rPr>
            <sz val="10"/>
            <color indexed="81"/>
            <rFont val="Arial"/>
            <family val="2"/>
          </rPr>
          <t xml:space="preserve">: contact@ing.ro
</t>
        </r>
        <r>
          <rPr>
            <b/>
            <sz val="10"/>
            <color indexed="81"/>
            <rFont val="Arial"/>
            <family val="2"/>
          </rPr>
          <t>Facebook</t>
        </r>
        <r>
          <rPr>
            <sz val="10"/>
            <color indexed="81"/>
            <rFont val="Arial"/>
            <family val="2"/>
          </rPr>
          <t>: ING Romania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O46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>Pentru verdicat se va adauga o formatare conditionala, in cazul in care este corect va la afisat cu vere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E6" authorId="0" shapeId="0">
      <text>
        <r>
          <rPr>
            <sz val="9"/>
            <color indexed="81"/>
            <rFont val="Tahoma"/>
            <family val="2"/>
          </rPr>
          <t xml:space="preserve">Acestia sunt numarul de clienti. Respectiv </t>
        </r>
        <r>
          <rPr>
            <b/>
            <sz val="9"/>
            <color indexed="81"/>
            <rFont val="Tahoma"/>
            <family val="2"/>
          </rPr>
          <t>4 clienti</t>
        </r>
        <r>
          <rPr>
            <sz val="9"/>
            <color indexed="81"/>
            <rFont val="Tahoma"/>
            <family val="2"/>
          </rPr>
          <t xml:space="preserve"> pentru ziua de luni intre orele </t>
        </r>
        <r>
          <rPr>
            <b/>
            <sz val="9"/>
            <color indexed="81"/>
            <rFont val="Tahoma"/>
            <family val="2"/>
          </rPr>
          <t>8:00-11:00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Hp</author>
  </authors>
  <commentList>
    <comment ref="I3" authorId="0" shapeId="0">
      <text>
        <r>
          <rPr>
            <b/>
            <sz val="9"/>
            <color indexed="81"/>
            <rFont val="Tahoma"/>
            <family val="2"/>
          </rPr>
          <t xml:space="preserve">Dobanda
De tinut cont ca am calculat valoarea finala folosind </t>
        </r>
        <r>
          <rPr>
            <b/>
            <u/>
            <sz val="9"/>
            <color indexed="81"/>
            <rFont val="Tahoma"/>
            <family val="2"/>
          </rPr>
          <t>dobanda simpla</t>
        </r>
        <r>
          <rPr>
            <b/>
            <sz val="9"/>
            <color indexed="81"/>
            <rFont val="Tahoma"/>
            <family val="2"/>
          </rPr>
          <t xml:space="preserve"> 
VV = VP x ( 1+n*r)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PV cu PMT 0 si calculat este sa observam daca exista diferente intre ele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 xml:space="preserve">Motivul pentru care am calculat FV cu PMT 0 si calculat este sa observam daca exista diferente intre ele
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 xml:space="preserve">Motivul pentru care am calculat PV cu PMT 0 si calculat este sa observam daca exista diferente intre ele
</t>
        </r>
      </text>
    </comment>
    <comment ref="P3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FV cu PMT 0 si calculat este sa observam daca exista diferente intre ele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6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PMT reprezinta depozitul anual, in cazul in care nu doresc depozit anual voi completa cu 0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0-5 ani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5-10 ani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PV cu PMT 0 si calculat este sa observam daca exista diferente intre ele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 xml:space="preserve">De precizat ca pentru fiecare credit valoarea se afla si in tabel
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 xml:space="preserve">10-15 ani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FV cu PMT 0 si calculat este sa observam daca exista diferente intre ele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De precizat ca pentru fiecare credit valoarea se afla si in tabel
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</rPr>
          <t>15-20 ani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De precizat ca pentru fiecare credit valoarea se afla si in tabel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</rPr>
          <t>20-25 ani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PV cu PMT 0 si calculat este sa observam daca exista diferente intre ele</t>
        </r>
      </text>
    </comment>
    <comment ref="F39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De precizat ca pentru fiecare credit valoarea se afla si in tabel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</rPr>
          <t>Peste 25 ani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Motivul pentru care am calculat FV cu PMT 0 si calculat este sa observam daca exista diferente intre ele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 xml:space="preserve">De precizat ca pentru fiecare credit valoarea se afla si in tabel
</t>
        </r>
      </text>
    </comment>
  </commentList>
</comments>
</file>

<file path=xl/comments5.xml><?xml version="1.0" encoding="utf-8"?>
<comments xmlns="http://schemas.openxmlformats.org/spreadsheetml/2006/main">
  <authors>
    <author>Hp</author>
  </authors>
  <commentList>
    <comment ref="H18" authorId="0" shapeId="0">
      <text>
        <r>
          <rPr>
            <b/>
            <sz val="9"/>
            <color indexed="81"/>
            <rFont val="Tahoma"/>
            <family val="2"/>
          </rPr>
          <t>Atentie!
Biroul este inchis temporar. Pana pe data de 20.07.2020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Bancomatul are functie doar doar de incasare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Bancomatul are bunctie doar de retragere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Bancomatul are functie si de incasare si de retragere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Atentie!
Robotul pentru achitare facturi 2 este momentan defect !</t>
        </r>
      </text>
    </comment>
  </commentList>
</comments>
</file>

<file path=xl/comments6.xml><?xml version="1.0" encoding="utf-8"?>
<comments xmlns="http://schemas.openxmlformats.org/spreadsheetml/2006/main">
  <authors>
    <author>Hp</author>
  </authors>
  <commentList>
    <comment ref="D23" authorId="0" shapeId="0">
      <text>
        <r>
          <rPr>
            <b/>
            <sz val="9"/>
            <color indexed="81"/>
            <rFont val="Tahoma"/>
            <family val="2"/>
          </rPr>
          <t xml:space="preserve">Robert:
</t>
        </r>
        <r>
          <rPr>
            <sz val="9"/>
            <color indexed="81"/>
            <rFont val="Tahoma"/>
            <family val="2"/>
          </rPr>
          <t>De aici selectam agentul caruia dorim sa-I aflam salariul, si daca este mai mic sau mai mare decat media salariilor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>
  <connection id="1" name="clienti ing import" type="6" refreshedVersion="5" background="1" saveData="1">
    <textPr codePage="437" sourceFile="C:\Users\Hp\Desktop\clienti ing import.txt" decimal="," thousands="." comma="1">
      <textFields count="14"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<sst xmlns="http://schemas.openxmlformats.org/spreadsheetml/2006/main" count="709" uniqueCount="372">
  <si>
    <t xml:space="preserve">Unde ne gasesti? </t>
  </si>
  <si>
    <t>Cine suntem?</t>
  </si>
  <si>
    <t>Contacteaza-ne!</t>
  </si>
  <si>
    <t xml:space="preserve"> Bine ai venit !</t>
  </si>
  <si>
    <t>Structura</t>
  </si>
  <si>
    <t>ING Romania</t>
  </si>
  <si>
    <t>Pentru a afla orice sucursala din Romania va rugam, apasati aici.</t>
  </si>
  <si>
    <t>Home</t>
  </si>
  <si>
    <t>8:00-11:00</t>
  </si>
  <si>
    <t>11:00-13:00</t>
  </si>
  <si>
    <t>14:00-16:00</t>
  </si>
  <si>
    <t>16:00-18:00</t>
  </si>
  <si>
    <t xml:space="preserve">               Ziua saptamanii
Ora</t>
  </si>
  <si>
    <t>Total</t>
  </si>
  <si>
    <t>Target</t>
  </si>
  <si>
    <t xml:space="preserve">Luni
 </t>
  </si>
  <si>
    <t xml:space="preserve">Marti
</t>
  </si>
  <si>
    <t xml:space="preserve">Miercuri
</t>
  </si>
  <si>
    <t xml:space="preserve">Joi
</t>
  </si>
  <si>
    <t xml:space="preserve">Vineri
</t>
  </si>
  <si>
    <t>Despre noi</t>
  </si>
  <si>
    <t>Interval orar populat</t>
  </si>
  <si>
    <t>ING BANK</t>
  </si>
  <si>
    <r>
      <t xml:space="preserve">           </t>
    </r>
    <r>
      <rPr>
        <sz val="14"/>
        <color rgb="FFFC7404"/>
        <rFont val="Times New Roman"/>
        <family val="1"/>
      </rPr>
      <t xml:space="preserve">Analiza a numarului de clienti luand in considerare </t>
    </r>
    <r>
      <rPr>
        <b/>
        <sz val="14"/>
        <color rgb="FFFC7404"/>
        <rFont val="Times New Roman"/>
        <family val="1"/>
      </rPr>
      <t xml:space="preserve">zilele lucratoare </t>
    </r>
    <r>
      <rPr>
        <sz val="14"/>
        <color rgb="FFFC7404"/>
        <rFont val="Times New Roman"/>
        <family val="1"/>
      </rPr>
      <t xml:space="preserve">ale saptamanii si intervalul orar. De mentinut ca sucursala este deschisa intre orele </t>
    </r>
    <r>
      <rPr>
        <b/>
        <sz val="14"/>
        <color rgb="FFFC7404"/>
        <rFont val="Times New Roman"/>
        <family val="1"/>
      </rPr>
      <t>8:00 - 18:00.</t>
    </r>
  </si>
  <si>
    <t>Agent</t>
  </si>
  <si>
    <t>Tip credit</t>
  </si>
  <si>
    <t>Data intocmire credit</t>
  </si>
  <si>
    <t>Data rambursare credit</t>
  </si>
  <si>
    <t>Bogdan Boteanu</t>
  </si>
  <si>
    <t>Maria-Cristina Matei</t>
  </si>
  <si>
    <t>Denis Popa</t>
  </si>
  <si>
    <t>Florin Ilie</t>
  </si>
  <si>
    <t>Ioana Sima</t>
  </si>
  <si>
    <t>Andreea Corpa</t>
  </si>
  <si>
    <t>Mihai Vlad</t>
  </si>
  <si>
    <t>Daniel Mihalache</t>
  </si>
  <si>
    <t>Ioan Vladimir</t>
  </si>
  <si>
    <t>Prima casa</t>
  </si>
  <si>
    <t>Credit Imobiliar</t>
  </si>
  <si>
    <t>Credit de nevoie personale</t>
  </si>
  <si>
    <t>Credit auto</t>
  </si>
  <si>
    <t>Status</t>
  </si>
  <si>
    <t>Numarul de ani pe care a fost facut creditul</t>
  </si>
  <si>
    <t xml:space="preserve">Rata dobanzii </t>
  </si>
  <si>
    <t xml:space="preserve">Valoarea finala cu dobanda </t>
  </si>
  <si>
    <t xml:space="preserve">Valoarea toata a creditelor de tipul "Prima casa" luand in considereare si dobanda </t>
  </si>
  <si>
    <t xml:space="preserve">Valoarea totala a creditelor de tipul " Prima casa " </t>
  </si>
  <si>
    <t xml:space="preserve">Numarul total de credite de tipul " Prima casa " </t>
  </si>
  <si>
    <t>Cate credite de tip "Prima casa" au fost facute prin intermediu agentului Denis Popa?</t>
  </si>
  <si>
    <t>Cate credite a facut agentul Denis Popa in total?</t>
  </si>
  <si>
    <t>Care este valoarea totata a creditelor facute de agentul Denis Popa?</t>
  </si>
  <si>
    <t>Cate credite au fost achitate pana in prezent?</t>
  </si>
  <si>
    <t>Sergiu Silva</t>
  </si>
  <si>
    <t>Vlad Octav</t>
  </si>
  <si>
    <t>Tabel detaliat cu angajatii</t>
  </si>
  <si>
    <t>Nume</t>
  </si>
  <si>
    <t>Prenume</t>
  </si>
  <si>
    <t>CNP</t>
  </si>
  <si>
    <t>Data angajarii</t>
  </si>
  <si>
    <t>Vechime</t>
  </si>
  <si>
    <t>Post</t>
  </si>
  <si>
    <t>Norma</t>
  </si>
  <si>
    <t>Gen</t>
  </si>
  <si>
    <t>Varsta</t>
  </si>
  <si>
    <t>Oras natal</t>
  </si>
  <si>
    <t xml:space="preserve">Mihaela </t>
  </si>
  <si>
    <t>Bitu</t>
  </si>
  <si>
    <t>Bogdan</t>
  </si>
  <si>
    <t>Boteanu</t>
  </si>
  <si>
    <t>Man</t>
  </si>
  <si>
    <t xml:space="preserve">Denis </t>
  </si>
  <si>
    <t>Silva</t>
  </si>
  <si>
    <t xml:space="preserve">Sergiu </t>
  </si>
  <si>
    <t>Octav</t>
  </si>
  <si>
    <t xml:space="preserve">Vlad </t>
  </si>
  <si>
    <t>Eustin</t>
  </si>
  <si>
    <t xml:space="preserve">Silviu </t>
  </si>
  <si>
    <t>Matei</t>
  </si>
  <si>
    <t xml:space="preserve">Maria-Cristina </t>
  </si>
  <si>
    <t>Sighinas</t>
  </si>
  <si>
    <t xml:space="preserve">Razvan </t>
  </si>
  <si>
    <t>Ilie</t>
  </si>
  <si>
    <t>Florin</t>
  </si>
  <si>
    <t>Ioana</t>
  </si>
  <si>
    <t>Ioan</t>
  </si>
  <si>
    <t>Andreea</t>
  </si>
  <si>
    <t>Diana</t>
  </si>
  <si>
    <t>Popa</t>
  </si>
  <si>
    <t>Sima</t>
  </si>
  <si>
    <t>Mihalache</t>
  </si>
  <si>
    <t>Vladimir</t>
  </si>
  <si>
    <t>Vlad</t>
  </si>
  <si>
    <t>Corpa</t>
  </si>
  <si>
    <t>Ionescu</t>
  </si>
  <si>
    <t xml:space="preserve">Daniel </t>
  </si>
  <si>
    <t xml:space="preserve">Mihai </t>
  </si>
  <si>
    <t xml:space="preserve">Vasile </t>
  </si>
  <si>
    <t>Varsta sub 35 de ani</t>
  </si>
  <si>
    <t>Oral actual</t>
  </si>
  <si>
    <t>Data nasterii</t>
  </si>
  <si>
    <t>Sibiu</t>
  </si>
  <si>
    <t>Timisoara</t>
  </si>
  <si>
    <t>Cluj</t>
  </si>
  <si>
    <t>Valcea</t>
  </si>
  <si>
    <t>Brasov</t>
  </si>
  <si>
    <t>Arges</t>
  </si>
  <si>
    <t>Bucuresti</t>
  </si>
  <si>
    <t>Director executiv</t>
  </si>
  <si>
    <t>Deputy CEO &amp; Head of Midcorporate Banking</t>
  </si>
  <si>
    <t>Head of Retail Banking</t>
  </si>
  <si>
    <t>Chief Financial Officer</t>
  </si>
  <si>
    <t>Chief Risk Officer</t>
  </si>
  <si>
    <t>Head Of Human Resources</t>
  </si>
  <si>
    <t>Deputy CEO &amp; Chief Operating Officer</t>
  </si>
  <si>
    <t>Deputy CEO &amp; Chief Information Officer</t>
  </si>
  <si>
    <t>Deputy CEO &amp; Head of Wholesale Banking</t>
  </si>
  <si>
    <t>Operating Officer</t>
  </si>
  <si>
    <t>Relationship Manager Corporate</t>
  </si>
  <si>
    <t>Specialist Contract Center</t>
  </si>
  <si>
    <t>Call Center Officer</t>
  </si>
  <si>
    <t>Numarul total de femei angajate:</t>
  </si>
  <si>
    <t>Numarul total de barbati angajate:</t>
  </si>
  <si>
    <t>Unde ne gasesti?</t>
  </si>
  <si>
    <t>Valoare (lei)</t>
  </si>
  <si>
    <t>Intrare clienti</t>
  </si>
  <si>
    <t xml:space="preserve">Bancomat 1 </t>
  </si>
  <si>
    <t>Bancomat 2</t>
  </si>
  <si>
    <t>Bancomat 3</t>
  </si>
  <si>
    <t>Intrare birouri principale</t>
  </si>
  <si>
    <t>CLIENTI</t>
  </si>
  <si>
    <t>Call center officer</t>
  </si>
  <si>
    <t>Operating Office</t>
  </si>
  <si>
    <t>Specialist Contract center</t>
  </si>
  <si>
    <t>Financiar officer</t>
  </si>
  <si>
    <t>Dozator apa</t>
  </si>
  <si>
    <r>
      <t xml:space="preserve">Toaleta </t>
    </r>
    <r>
      <rPr>
        <b/>
        <sz val="11"/>
        <color theme="8"/>
        <rFont val="Bookman Old Style"/>
        <family val="1"/>
      </rPr>
      <t>barbati</t>
    </r>
  </si>
  <si>
    <r>
      <t xml:space="preserve">Toaleta </t>
    </r>
    <r>
      <rPr>
        <b/>
        <sz val="11"/>
        <color rgb="FFF30DD2"/>
        <rFont val="Bookman Old Style"/>
        <family val="1"/>
      </rPr>
      <t>femei</t>
    </r>
  </si>
  <si>
    <t>Iesire de urgenta 1</t>
  </si>
  <si>
    <t>Iesire de urgenta 2</t>
  </si>
  <si>
    <r>
      <t xml:space="preserve">Robot achitare facturi </t>
    </r>
    <r>
      <rPr>
        <b/>
        <sz val="11"/>
        <color rgb="FFFF0000"/>
        <rFont val="Lucida Console"/>
        <family val="3"/>
      </rPr>
      <t>2</t>
    </r>
  </si>
  <si>
    <r>
      <t xml:space="preserve">Robot achitare facturi </t>
    </r>
    <r>
      <rPr>
        <b/>
        <sz val="11"/>
        <color rgb="FFFF0000"/>
        <rFont val="Lucida Console"/>
        <family val="3"/>
      </rPr>
      <t>1</t>
    </r>
  </si>
  <si>
    <t>ING Bank</t>
  </si>
  <si>
    <t>Plan cladire</t>
  </si>
  <si>
    <t>Planul cladirei este realizat sucursalei din Sibiu, sos. Alba Iulia nr. 40</t>
  </si>
  <si>
    <t>SUPORT</t>
  </si>
  <si>
    <r>
      <rPr>
        <b/>
        <u/>
        <sz val="12"/>
        <color theme="1"/>
        <rFont val="Times New Roman"/>
        <family val="1"/>
      </rPr>
      <t>instituție financiară internațională care a deschis o sucursală în România după 1989</t>
    </r>
    <r>
      <rPr>
        <sz val="12"/>
        <color theme="1"/>
        <rFont val="Times New Roman"/>
        <family val="1"/>
      </rPr>
      <t>, în prezent deținând o poziție solidă pe piața locală. S-a lansat in 1994, ca bancă de nișă, de</t>
    </r>
  </si>
  <si>
    <t>ING Bank Romania - Expo Business Park, strada Aviator Popisteanu, nr. 54A, cladirea nr. 3, sector 1, Bucuresti, cod postal 012095</t>
  </si>
  <si>
    <t>Soseaua Alba Iulia 40, Sibiu, cod postal 550018</t>
  </si>
  <si>
    <r>
      <rPr>
        <u/>
        <sz val="20"/>
        <color theme="8" tint="-0.249977111117893"/>
        <rFont val="Bernard MT Condensed"/>
        <family val="1"/>
      </rPr>
      <t>Despre</t>
    </r>
    <r>
      <rPr>
        <u/>
        <sz val="20"/>
        <color theme="1"/>
        <rFont val="Bernard MT Condensed"/>
        <family val="1"/>
      </rPr>
      <t xml:space="preserve"> </t>
    </r>
    <r>
      <rPr>
        <u/>
        <sz val="20"/>
        <color rgb="FFFC5704"/>
        <rFont val="Bernard MT Condensed"/>
        <family val="1"/>
      </rPr>
      <t xml:space="preserve">ING </t>
    </r>
  </si>
  <si>
    <r>
      <t xml:space="preserve">Sediu central </t>
    </r>
    <r>
      <rPr>
        <b/>
        <sz val="14"/>
        <color rgb="FFFC5704"/>
        <rFont val="Microsoft YaHei"/>
        <family val="2"/>
      </rPr>
      <t>ING Romania</t>
    </r>
  </si>
  <si>
    <r>
      <t xml:space="preserve">Sucursala </t>
    </r>
    <r>
      <rPr>
        <b/>
        <sz val="14"/>
        <color rgb="FFFC5704"/>
        <rFont val="Microsoft YaHei"/>
        <family val="2"/>
      </rPr>
      <t>ING Sibiu</t>
    </r>
  </si>
  <si>
    <t xml:space="preserve"> ING  ROMANIA</t>
  </si>
  <si>
    <r>
      <rPr>
        <sz val="14"/>
        <color rgb="FFFF0101"/>
        <rFont val="Freestyle Script"/>
        <family val="4"/>
      </rPr>
      <t>ING</t>
    </r>
    <r>
      <rPr>
        <sz val="14"/>
        <color theme="1"/>
        <rFont val="Freestyle Script"/>
        <family val="4"/>
      </rPr>
      <t xml:space="preserve"> </t>
    </r>
    <r>
      <rPr>
        <sz val="14"/>
        <color rgb="FF002060"/>
        <rFont val="Freestyle Script"/>
        <family val="4"/>
      </rPr>
      <t>THE WORD IS BUSINESS</t>
    </r>
  </si>
  <si>
    <t>Corporate și Investment Banking, dar s-a dezvoltat într-un ritm susținut, prin creștere organică, iar astăzi este o bancă universală care oferă o paleta completă de produse și servicii</t>
  </si>
  <si>
    <r>
      <t>tuturor categoriilor de clienți. ING Bank România funcționează ca o banca universala, servind toate categoriile e clineti prin cele trei divizii specializate:</t>
    </r>
    <r>
      <rPr>
        <b/>
        <u/>
        <sz val="12"/>
        <color theme="1"/>
        <rFont val="Times New Roman"/>
        <family val="1"/>
      </rPr>
      <t xml:space="preserve"> Wholesale Banking, Mid</t>
    </r>
  </si>
  <si>
    <r>
      <rPr>
        <b/>
        <u/>
        <sz val="12"/>
        <color theme="1"/>
        <rFont val="Times New Roman"/>
        <family val="1"/>
      </rPr>
      <t>Corporate și Retail Banking</t>
    </r>
    <r>
      <rPr>
        <sz val="12"/>
        <color theme="1"/>
        <rFont val="Times New Roman"/>
        <family val="1"/>
      </rPr>
      <t>.</t>
    </r>
  </si>
  <si>
    <r>
      <t xml:space="preserve">ING Bank România este parte a </t>
    </r>
    <r>
      <rPr>
        <b/>
        <sz val="12"/>
        <color theme="1"/>
        <rFont val="Times New Roman"/>
        <family val="1"/>
      </rPr>
      <t>ING Group</t>
    </r>
    <r>
      <rPr>
        <sz val="12"/>
        <color theme="1"/>
        <rFont val="Times New Roman"/>
        <family val="1"/>
      </rPr>
      <t xml:space="preserve">. Grupul ING este prezent pe piata din Romania cu afaceri bancare, de asigurari, pensii private, leasing si factoring. </t>
    </r>
    <r>
      <rPr>
        <b/>
        <u/>
        <sz val="12"/>
        <color theme="1"/>
        <rFont val="Times New Roman"/>
        <family val="1"/>
      </rPr>
      <t>ING Bank este prima</t>
    </r>
  </si>
  <si>
    <t>Moneda</t>
  </si>
  <si>
    <t>Cod</t>
  </si>
  <si>
    <t>Curs</t>
  </si>
  <si>
    <t>1 euro</t>
  </si>
  <si>
    <t>1 dolar american</t>
  </si>
  <si>
    <t>Imagine</t>
  </si>
  <si>
    <t>1 lira sterlina</t>
  </si>
  <si>
    <t>1 franc elvetian</t>
  </si>
  <si>
    <t>1 dolar australian</t>
  </si>
  <si>
    <t>1 corona daneza</t>
  </si>
  <si>
    <t>1 froint unguresc</t>
  </si>
  <si>
    <t>1 yen japonez</t>
  </si>
  <si>
    <t>1 corona norvegiana</t>
  </si>
  <si>
    <t>1 corona suedeza</t>
  </si>
  <si>
    <t>EUR</t>
  </si>
  <si>
    <t>USD</t>
  </si>
  <si>
    <t>GBP</t>
  </si>
  <si>
    <t>CHF</t>
  </si>
  <si>
    <t>AUD</t>
  </si>
  <si>
    <t>DKK</t>
  </si>
  <si>
    <t>HUF</t>
  </si>
  <si>
    <t>JPY</t>
  </si>
  <si>
    <t>NOK</t>
  </si>
  <si>
    <t>SEK</t>
  </si>
  <si>
    <r>
      <rPr>
        <b/>
        <sz val="11"/>
        <color rgb="FFFF3D01"/>
        <rFont val="Arial"/>
        <family val="2"/>
      </rPr>
      <t xml:space="preserve">ING </t>
    </r>
    <r>
      <rPr>
        <b/>
        <sz val="11"/>
        <color theme="1"/>
        <rFont val="Arial"/>
        <family val="2"/>
      </rPr>
      <t>Cumpara</t>
    </r>
  </si>
  <si>
    <r>
      <rPr>
        <b/>
        <sz val="11"/>
        <color rgb="FFFF3D01"/>
        <rFont val="Arial"/>
        <family val="2"/>
      </rPr>
      <t xml:space="preserve">ING </t>
    </r>
    <r>
      <rPr>
        <b/>
        <sz val="11"/>
        <color theme="1"/>
        <rFont val="Arial"/>
        <family val="2"/>
      </rPr>
      <t>Vinde</t>
    </r>
  </si>
  <si>
    <r>
      <rPr>
        <b/>
        <sz val="12"/>
        <color theme="1"/>
        <rFont val="Times New Roman"/>
        <family val="1"/>
      </rPr>
      <t>Grupul ING</t>
    </r>
    <r>
      <rPr>
        <sz val="12"/>
        <color theme="1"/>
        <rFont val="Times New Roman"/>
        <family val="1"/>
      </rPr>
      <t xml:space="preserve"> este un</t>
    </r>
    <r>
      <rPr>
        <i/>
        <sz val="12"/>
        <color theme="1"/>
        <rFont val="Times New Roman"/>
        <family val="1"/>
      </rPr>
      <t xml:space="preserve"> </t>
    </r>
    <r>
      <rPr>
        <b/>
        <i/>
        <u/>
        <sz val="12"/>
        <color theme="1"/>
        <rFont val="Times New Roman"/>
        <family val="1"/>
      </rPr>
      <t>grup bancar</t>
    </r>
    <r>
      <rPr>
        <sz val="12"/>
        <color theme="1"/>
        <rFont val="Times New Roman"/>
        <family val="1"/>
      </rPr>
      <t xml:space="preserve"> din Olanda prezent la nivel mondial. Grupul ING a fost creat in anul </t>
    </r>
    <r>
      <rPr>
        <b/>
        <sz val="12"/>
        <color theme="1"/>
        <rFont val="Times New Roman"/>
        <family val="1"/>
      </rPr>
      <t>1991</t>
    </r>
    <r>
      <rPr>
        <sz val="12"/>
        <color theme="1"/>
        <rFont val="Times New Roman"/>
        <family val="1"/>
      </rPr>
      <t xml:space="preserve"> prin fuzionare dintre Nationale-Nederlander si NMB Postbank Group. Noul</t>
    </r>
  </si>
  <si>
    <r>
      <t xml:space="preserve">nume al companiei dupa fuziune a devenit </t>
    </r>
    <r>
      <rPr>
        <i/>
        <sz val="12"/>
        <color theme="1"/>
        <rFont val="Times New Roman"/>
        <family val="1"/>
      </rPr>
      <t>Internatinale Nationale Nederlanden</t>
    </r>
    <r>
      <rPr>
        <sz val="12"/>
        <color theme="1"/>
        <rFont val="Times New Roman"/>
        <family val="1"/>
      </rPr>
      <t xml:space="preserve"> fiind prescurat in I-N-G, dupa care s-a decis schimbarea numelui in </t>
    </r>
    <r>
      <rPr>
        <b/>
        <sz val="12"/>
        <color theme="1"/>
        <rFont val="Times New Roman"/>
        <family val="1"/>
      </rPr>
      <t>ING Groep N.V.</t>
    </r>
  </si>
  <si>
    <r>
      <rPr>
        <b/>
        <i/>
        <sz val="12"/>
        <color theme="9" tint="-0.499984740745262"/>
        <rFont val="Times New Roman"/>
        <family val="1"/>
      </rPr>
      <t xml:space="preserve">         </t>
    </r>
    <r>
      <rPr>
        <b/>
        <i/>
        <u/>
        <sz val="12"/>
        <color theme="9" tint="-0.499984740745262"/>
        <rFont val="Times New Roman"/>
        <family val="1"/>
      </rPr>
      <t>Curs Valutar ING Romania</t>
    </r>
  </si>
  <si>
    <t>Raport credite</t>
  </si>
  <si>
    <t>ING The word is bussines</t>
  </si>
  <si>
    <t xml:space="preserve">Procent din valoarea finala </t>
  </si>
  <si>
    <t>TOTAL VALOARE FINALA</t>
  </si>
  <si>
    <t>Zile lucrate</t>
  </si>
  <si>
    <t>Lei pe ora</t>
  </si>
  <si>
    <t>Salariu net</t>
  </si>
  <si>
    <t>Bonusuri</t>
  </si>
  <si>
    <t>Norma (h)</t>
  </si>
  <si>
    <t>Bilant salarii Aprilie</t>
  </si>
  <si>
    <t>PMT</t>
  </si>
  <si>
    <r>
      <rPr>
        <b/>
        <i/>
        <sz val="12"/>
        <color theme="9" tint="-0.499984740745262"/>
        <rFont val="Times New Roman"/>
        <family val="1"/>
      </rPr>
      <t xml:space="preserve">         </t>
    </r>
    <r>
      <rPr>
        <b/>
        <i/>
        <u/>
        <sz val="12"/>
        <color theme="9" tint="-0.499984740745262"/>
        <rFont val="Times New Roman"/>
        <family val="1"/>
      </rPr>
      <t>Credite</t>
    </r>
  </si>
  <si>
    <r>
      <rPr>
        <b/>
        <i/>
        <sz val="12"/>
        <color theme="9" tint="-0.499984740745262"/>
        <rFont val="Times New Roman"/>
        <family val="1"/>
      </rPr>
      <t xml:space="preserve">         </t>
    </r>
    <r>
      <rPr>
        <b/>
        <i/>
        <u/>
        <sz val="12"/>
        <color theme="9" tint="-0.499984740745262"/>
        <rFont val="Times New Roman"/>
        <family val="1"/>
      </rPr>
      <t>Analiza ore clienti</t>
    </r>
  </si>
  <si>
    <t>Angajat</t>
  </si>
  <si>
    <t xml:space="preserve">         ING Bank Management Team</t>
  </si>
  <si>
    <t>Verificare</t>
  </si>
  <si>
    <t>Verdict</t>
  </si>
  <si>
    <t>Salariu agent</t>
  </si>
  <si>
    <t>Nume agent</t>
  </si>
  <si>
    <t>Salariu mediu</t>
  </si>
  <si>
    <t>Cel mai mare salariu</t>
  </si>
  <si>
    <t>cel mai mic salariu</t>
  </si>
  <si>
    <t>Comparatie salariu agentului fata de medie</t>
  </si>
  <si>
    <t>Cresteri salariale viitoare</t>
  </si>
  <si>
    <t xml:space="preserve">Sortare curs </t>
  </si>
  <si>
    <t>Curs valutar ING Romania</t>
  </si>
  <si>
    <r>
      <t xml:space="preserve">Care ar fii </t>
    </r>
    <r>
      <rPr>
        <b/>
        <sz val="11"/>
        <color theme="1"/>
        <rFont val="Bahnschrift"/>
        <family val="2"/>
      </rPr>
      <t>marimea platii lunare facute</t>
    </r>
    <r>
      <rPr>
        <sz val="11"/>
        <color theme="1"/>
        <rFont val="Bahnschrift"/>
        <family val="2"/>
      </rPr>
      <t xml:space="preserve"> catre banca pentru creditul de 290.000 RON?</t>
    </r>
  </si>
  <si>
    <t>Valoarea prezenta a sumei de bani cu PMT 0</t>
  </si>
  <si>
    <t>Valoarea viitoare a sumei de bani cu PMT 0</t>
  </si>
  <si>
    <t>Calculare PMT (marimea platii lunare)</t>
  </si>
  <si>
    <t>PV cu PMT calculat</t>
  </si>
  <si>
    <r>
      <t>Care este</t>
    </r>
    <r>
      <rPr>
        <b/>
        <sz val="11"/>
        <color theme="1"/>
        <rFont val="Bahnschrift"/>
        <family val="2"/>
      </rPr>
      <t xml:space="preserve"> valoarea prezenta</t>
    </r>
    <r>
      <rPr>
        <sz val="11"/>
        <color theme="1"/>
        <rFont val="Bahnschrift"/>
        <family val="2"/>
      </rPr>
      <t xml:space="preserve"> a celor 290.000 RON daca ar exista </t>
    </r>
    <r>
      <rPr>
        <b/>
        <sz val="11"/>
        <color theme="1"/>
        <rFont val="Bahnschrift"/>
        <family val="2"/>
      </rPr>
      <t>PMT 0</t>
    </r>
    <r>
      <rPr>
        <sz val="11"/>
        <color theme="1"/>
        <rFont val="Bahnschrift"/>
        <family val="2"/>
      </rPr>
      <t>?</t>
    </r>
  </si>
  <si>
    <r>
      <t xml:space="preserve">Care este </t>
    </r>
    <r>
      <rPr>
        <b/>
        <sz val="11"/>
        <color theme="1"/>
        <rFont val="Bahnschrift"/>
        <family val="2"/>
      </rPr>
      <t>valoarea viitoare</t>
    </r>
    <r>
      <rPr>
        <sz val="11"/>
        <color theme="1"/>
        <rFont val="Bahnschrift"/>
        <family val="2"/>
      </rPr>
      <t xml:space="preserve"> a celor 290.000 RON daca ar exista </t>
    </r>
    <r>
      <rPr>
        <b/>
        <sz val="11"/>
        <color theme="1"/>
        <rFont val="Bahnschrift"/>
        <family val="2"/>
      </rPr>
      <t>PMT</t>
    </r>
    <r>
      <rPr>
        <sz val="11"/>
        <color theme="1"/>
        <rFont val="Bahnschrift"/>
        <family val="2"/>
      </rPr>
      <t xml:space="preserve"> </t>
    </r>
    <r>
      <rPr>
        <b/>
        <sz val="11"/>
        <color theme="1"/>
        <rFont val="Bahnschrift"/>
        <family val="2"/>
      </rPr>
      <t>0</t>
    </r>
    <r>
      <rPr>
        <sz val="11"/>
        <color theme="1"/>
        <rFont val="Bahnschrift"/>
        <family val="2"/>
      </rPr>
      <t>?</t>
    </r>
  </si>
  <si>
    <r>
      <t xml:space="preserve">Care este </t>
    </r>
    <r>
      <rPr>
        <b/>
        <sz val="11"/>
        <color theme="1"/>
        <rFont val="Bahnschrift"/>
        <family val="2"/>
      </rPr>
      <t>valoarea prezenta</t>
    </r>
    <r>
      <rPr>
        <sz val="11"/>
        <color theme="1"/>
        <rFont val="Bahnschrift"/>
        <family val="2"/>
      </rPr>
      <t xml:space="preserve"> a celor 290.000 RON cu </t>
    </r>
    <r>
      <rPr>
        <b/>
        <sz val="11"/>
        <color theme="1"/>
        <rFont val="Bahnschrift"/>
        <family val="2"/>
      </rPr>
      <t>PMT</t>
    </r>
    <r>
      <rPr>
        <sz val="11"/>
        <color theme="1"/>
        <rFont val="Bahnschrift"/>
        <family val="2"/>
      </rPr>
      <t xml:space="preserve"> </t>
    </r>
    <r>
      <rPr>
        <b/>
        <sz val="11"/>
        <color theme="1"/>
        <rFont val="Bahnschrift"/>
        <family val="2"/>
      </rPr>
      <t>calculat</t>
    </r>
    <r>
      <rPr>
        <sz val="11"/>
        <color theme="1"/>
        <rFont val="Bahnschrift"/>
        <family val="2"/>
      </rPr>
      <t>?</t>
    </r>
  </si>
  <si>
    <r>
      <t xml:space="preserve">Care este </t>
    </r>
    <r>
      <rPr>
        <b/>
        <sz val="11"/>
        <color theme="1"/>
        <rFont val="Bahnschrift"/>
        <family val="2"/>
      </rPr>
      <t>valoarea viitoare</t>
    </r>
    <r>
      <rPr>
        <sz val="11"/>
        <color theme="1"/>
        <rFont val="Bahnschrift"/>
        <family val="2"/>
      </rPr>
      <t xml:space="preserve"> a celor 290.000 RON cu </t>
    </r>
    <r>
      <rPr>
        <b/>
        <sz val="11"/>
        <color theme="1"/>
        <rFont val="Bahnschrift"/>
        <family val="2"/>
      </rPr>
      <t>PMT calcult</t>
    </r>
    <r>
      <rPr>
        <sz val="11"/>
        <color theme="1"/>
        <rFont val="Bahnschrift"/>
        <family val="2"/>
      </rPr>
      <t>?</t>
    </r>
  </si>
  <si>
    <t>FV cu PMT calculat</t>
  </si>
  <si>
    <r>
      <rPr>
        <b/>
        <sz val="11"/>
        <color rgb="FF2DE61A"/>
        <rFont val="Bahnschrift Light SemiCondensed"/>
        <family val="2"/>
      </rPr>
      <t>Verdict:</t>
    </r>
    <r>
      <rPr>
        <sz val="11"/>
        <color theme="1"/>
        <rFont val="Bahnschrift Light SemiCondensed"/>
        <family val="2"/>
      </rPr>
      <t xml:space="preserve"> Exista diferente intre PV calculat cu PMT 0 si PV calculat cu PMT calculat?</t>
    </r>
  </si>
  <si>
    <r>
      <rPr>
        <b/>
        <sz val="11"/>
        <color rgb="FF2DE61A"/>
        <rFont val="Bahnschrift Light SemiCondensed"/>
        <family val="2"/>
      </rPr>
      <t xml:space="preserve">Verdict: </t>
    </r>
    <r>
      <rPr>
        <sz val="11"/>
        <color theme="1"/>
        <rFont val="Bahnschrift Light SemiCondensed"/>
        <family val="2"/>
      </rPr>
      <t>Exista diferente intre FV calculat cu PMT 0 si PV calculat cu PMT calculat?</t>
    </r>
  </si>
  <si>
    <t>Bogdan Boteanu Total</t>
  </si>
  <si>
    <t>Sergiu Silva Total</t>
  </si>
  <si>
    <t>Maria-Cristina Matei Total</t>
  </si>
  <si>
    <t>Denis Popa Total</t>
  </si>
  <si>
    <t>Florin Ilie Total</t>
  </si>
  <si>
    <t>Ioana Sima Total</t>
  </si>
  <si>
    <t>Andreea Corpa Total</t>
  </si>
  <si>
    <t>Mihai Vlad Total</t>
  </si>
  <si>
    <t>Daniel Mihalache Total</t>
  </si>
  <si>
    <t>Vlad Octav Total</t>
  </si>
  <si>
    <t>Ioan Vladimir Total</t>
  </si>
  <si>
    <t>Grand Total</t>
  </si>
  <si>
    <t>Subtotal tabel credite</t>
  </si>
  <si>
    <t>Import clienti din Text Document</t>
  </si>
  <si>
    <t>Nume client</t>
  </si>
  <si>
    <t>Prenume client</t>
  </si>
  <si>
    <t>CNP client</t>
  </si>
  <si>
    <t>Adresa client</t>
  </si>
  <si>
    <t>Telefon</t>
  </si>
  <si>
    <t>Mail</t>
  </si>
  <si>
    <t>Tip Credit</t>
  </si>
  <si>
    <t>Numar ani credit</t>
  </si>
  <si>
    <t>Ora</t>
  </si>
  <si>
    <t>Feedback client</t>
  </si>
  <si>
    <t>Popescu</t>
  </si>
  <si>
    <t>Mihai</t>
  </si>
  <si>
    <t>1931212329022</t>
  </si>
  <si>
    <t>Sibiu str. Vasile Milea nr13</t>
  </si>
  <si>
    <t>popescu.mihai@yahoo.com</t>
  </si>
  <si>
    <t>Partial multumit</t>
  </si>
  <si>
    <t>2950713322028</t>
  </si>
  <si>
    <t>Sibiu str. Postop bl5 ap5</t>
  </si>
  <si>
    <t>dianamariaionescu@gmail.com</t>
  </si>
  <si>
    <t>Multumit</t>
  </si>
  <si>
    <t>Clopa</t>
  </si>
  <si>
    <t>Maria</t>
  </si>
  <si>
    <t>2991026399122</t>
  </si>
  <si>
    <t>Alba Iulia str Ghergeni nr18</t>
  </si>
  <si>
    <t>mariaclopa@yahoo.com</t>
  </si>
  <si>
    <t>Credit de nevoi personale</t>
  </si>
  <si>
    <t>Dezamagit</t>
  </si>
  <si>
    <t>Stefan</t>
  </si>
  <si>
    <t>Vasile</t>
  </si>
  <si>
    <t>1951112721032</t>
  </si>
  <si>
    <t>Sibiu str. Lazaret bl28 ap6</t>
  </si>
  <si>
    <t>stefn_vasile@yahoo.com</t>
  </si>
  <si>
    <t>Gheorge</t>
  </si>
  <si>
    <t>Ion</t>
  </si>
  <si>
    <t>1900402329526</t>
  </si>
  <si>
    <t>Sibiu str. Popesco nr340</t>
  </si>
  <si>
    <t>ionmariangheorge@yahoo.com</t>
  </si>
  <si>
    <t>Oprea</t>
  </si>
  <si>
    <t>Patricia</t>
  </si>
  <si>
    <t>2950215329632</t>
  </si>
  <si>
    <t>Sibiu str. Omega nr2</t>
  </si>
  <si>
    <t>oprea.patricia@yahoo.com</t>
  </si>
  <si>
    <t>Credit Imobliliar</t>
  </si>
  <si>
    <t>Alexa</t>
  </si>
  <si>
    <t>2990312529622</t>
  </si>
  <si>
    <t>Sibiu str. Pepe nr.76</t>
  </si>
  <si>
    <t>alexa.ioana@yahoo.com</t>
  </si>
  <si>
    <t>Alexandra</t>
  </si>
  <si>
    <t>2990320523822</t>
  </si>
  <si>
    <t>Medias str. Secundara nr.123</t>
  </si>
  <si>
    <t>vasile_alexandra@yahoo.com</t>
  </si>
  <si>
    <t>Andrei</t>
  </si>
  <si>
    <t>1980612521682</t>
  </si>
  <si>
    <t>Sibiu str. Ecuso bl4. ap3</t>
  </si>
  <si>
    <t>vlad.andrei@gmail.com</t>
  </si>
  <si>
    <t>George</t>
  </si>
  <si>
    <t>1970112629662</t>
  </si>
  <si>
    <t>Sibiu str. Sica nr21</t>
  </si>
  <si>
    <t>popaghoerghe20@yahoo.ro</t>
  </si>
  <si>
    <t>Marica</t>
  </si>
  <si>
    <t>Stefania</t>
  </si>
  <si>
    <t>2931013529582</t>
  </si>
  <si>
    <t>Rm. Valcea str. Principala nr230</t>
  </si>
  <si>
    <t>marica20stefania@gmail.com</t>
  </si>
  <si>
    <t>Valeriu</t>
  </si>
  <si>
    <t>1950712339625</t>
  </si>
  <si>
    <t>Rm. Valcea str. Principala nr23</t>
  </si>
  <si>
    <t>valeriuandrei.mihai@yahoo.com</t>
  </si>
  <si>
    <t>Pircu</t>
  </si>
  <si>
    <t>Valentina</t>
  </si>
  <si>
    <t>2950112729622</t>
  </si>
  <si>
    <t>Medias str. Principala nr14</t>
  </si>
  <si>
    <t>pircu_andrei_daniel@yahoo.ro</t>
  </si>
  <si>
    <t>Goca</t>
  </si>
  <si>
    <t>Marian</t>
  </si>
  <si>
    <t>1900323524622</t>
  </si>
  <si>
    <t>Medias str. Secundara nr22</t>
  </si>
  <si>
    <t>gocamarian@yahoo.ro</t>
  </si>
  <si>
    <t>Vinca</t>
  </si>
  <si>
    <t>2920318530672</t>
  </si>
  <si>
    <t>Rm. Valcea str. Principala nr.14</t>
  </si>
  <si>
    <t>vinca_maria@yahoo.ro</t>
  </si>
  <si>
    <t>Posca</t>
  </si>
  <si>
    <t>Darius</t>
  </si>
  <si>
    <t>1950812229692</t>
  </si>
  <si>
    <t>Sibiu str. Graului nr29</t>
  </si>
  <si>
    <t>poscadarius12@gmail.com</t>
  </si>
  <si>
    <t>Jopa</t>
  </si>
  <si>
    <t>Mariana</t>
  </si>
  <si>
    <t>2970916529639</t>
  </si>
  <si>
    <t>Sibiu str. Gusterita nr14</t>
  </si>
  <si>
    <t>jospamariana@gmail.com</t>
  </si>
  <si>
    <t>Bin</t>
  </si>
  <si>
    <t>Numarul de ani pe care a fost facut creditul - Histograma</t>
  </si>
  <si>
    <t>More</t>
  </si>
  <si>
    <t>Frequency</t>
  </si>
  <si>
    <t>Categorie ani</t>
  </si>
  <si>
    <t>Graficul 1.1 reprezinta daca sucursala si-a atins targetul pentru ziua aferenta.</t>
  </si>
  <si>
    <t>Graficul 1.2 reprezinta o mai buna vizualizare a tabelului si implicit numarul de clienti intr-o saptamana in diferite intervale orare.</t>
  </si>
  <si>
    <t xml:space="preserve">         (grafic 1.1)</t>
  </si>
  <si>
    <t xml:space="preserve">  (grafic 1.2)</t>
  </si>
  <si>
    <t>Cod Client</t>
  </si>
  <si>
    <t>C101</t>
  </si>
  <si>
    <t>C102</t>
  </si>
  <si>
    <t>C103</t>
  </si>
  <si>
    <t>C104</t>
  </si>
  <si>
    <t>C105</t>
  </si>
  <si>
    <t>C107</t>
  </si>
  <si>
    <t>C108</t>
  </si>
  <si>
    <t>C109</t>
  </si>
  <si>
    <t>C110</t>
  </si>
  <si>
    <t>C112</t>
  </si>
  <si>
    <t>C113</t>
  </si>
  <si>
    <t>C114</t>
  </si>
  <si>
    <t>C115</t>
  </si>
  <si>
    <t>C117</t>
  </si>
  <si>
    <t>C118</t>
  </si>
  <si>
    <t>C119</t>
  </si>
  <si>
    <t>C120</t>
  </si>
  <si>
    <t>Valoare credit (RON)</t>
  </si>
  <si>
    <t>Row Labels</t>
  </si>
  <si>
    <t>Column Labels</t>
  </si>
  <si>
    <t>Sum of Valoare credit (RON)</t>
  </si>
  <si>
    <t>(All)</t>
  </si>
  <si>
    <t>Tableta pivot</t>
  </si>
  <si>
    <r>
      <rPr>
        <b/>
        <i/>
        <sz val="12"/>
        <color theme="9" tint="-0.499984740745262"/>
        <rFont val="Times New Roman"/>
        <family val="1"/>
      </rPr>
      <t xml:space="preserve">          </t>
    </r>
    <r>
      <rPr>
        <b/>
        <i/>
        <u/>
        <sz val="12"/>
        <color theme="9" tint="-0.499984740745262"/>
        <rFont val="Times New Roman"/>
        <family val="1"/>
      </rPr>
      <t>Planul cladirii</t>
    </r>
  </si>
  <si>
    <t>Internet Banking</t>
  </si>
  <si>
    <t>Economii</t>
  </si>
  <si>
    <t>Asigurare locuinta</t>
  </si>
  <si>
    <t>Carduri</t>
  </si>
  <si>
    <t>ING Jobs</t>
  </si>
  <si>
    <t>Starea serviciilor</t>
  </si>
  <si>
    <t>Relatii cu media</t>
  </si>
  <si>
    <t>Duca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</si>
</sst>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#,##0\ &quot;lei&quot;;[Red]\-#,##0\ &quot;lei&quot;"/>
    <numFmt numFmtId="165" formatCode="#,##0.00\ &quot;lei&quot;;[Red]\-#,##0.00\ &quot;lei&quot;"/>
    <numFmt numFmtId="166" formatCode="[$-F400]h:mm:ss\ AM/PM"/>
    <numFmt numFmtId="167" formatCode="#,##0\ [$RON]"/>
    <numFmt numFmtId="168" formatCode="[$-418]d\ mmmm\ yyyy;@"/>
    <numFmt numFmtId="169" formatCode="0.0%"/>
    <numFmt numFmtId="170" formatCode="_-* #,##0\ [$RON]_-;\-* #,##0\ [$RON]_-;_-* &quot;-&quot;\ [$RON]_-;_-@_-"/>
    <numFmt numFmtId="171" formatCode="#,##0.0000\ [$RON]"/>
    <numFmt numFmtId="172" formatCode="#,##0.0000\ [$RON];\-#,##0.0000\ [$RON]"/>
    <numFmt numFmtId="173" formatCode="#,##0.00\ [$RON]"/>
  </numFmts>
  <fonts count="102" x14ac:knownFonts="1">
    <font>
      <sz val="11"/>
      <color theme="1"/>
      <name val="Calibri"/>
      <family val="2"/>
      <charset val="238"/>
      <scheme val="minor"/>
    </font>
    <font>
      <b/>
      <sz val="18"/>
      <color theme="0"/>
      <name val="Times New Roman"/>
      <family val="1"/>
    </font>
    <font>
      <sz val="9"/>
      <color indexed="81"/>
      <name val="Tahoma"/>
      <family val="2"/>
    </font>
    <font>
      <b/>
      <sz val="10"/>
      <color indexed="81"/>
      <name val="Arial"/>
      <family val="2"/>
    </font>
    <font>
      <sz val="10"/>
      <color indexed="81"/>
      <name val="Arial"/>
      <family val="2"/>
    </font>
    <font>
      <b/>
      <sz val="14"/>
      <color theme="8" tint="-0.249977111117893"/>
      <name val="Times New Roman"/>
      <family val="1"/>
    </font>
    <font>
      <u/>
      <sz val="11"/>
      <color theme="1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sz val="12"/>
      <color theme="1"/>
      <name val="Arial"/>
      <family val="2"/>
    </font>
    <font>
      <sz val="12"/>
      <color rgb="FFFC5704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charset val="238"/>
      <scheme val="minor"/>
    </font>
    <font>
      <b/>
      <sz val="16"/>
      <color rgb="FFFC5704"/>
      <name val="Arial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7404"/>
      <name val="Calibri"/>
      <family val="2"/>
      <charset val="238"/>
      <scheme val="minor"/>
    </font>
    <font>
      <sz val="14"/>
      <color rgb="FFFC7404"/>
      <name val="Times New Roman"/>
      <family val="1"/>
    </font>
    <font>
      <b/>
      <sz val="14"/>
      <color rgb="FFFC7404"/>
      <name val="Times New Roman"/>
      <family val="1"/>
    </font>
    <font>
      <b/>
      <sz val="12"/>
      <color rgb="FFFC5704"/>
      <name val="Mistral"/>
      <family val="4"/>
    </font>
    <font>
      <b/>
      <u/>
      <sz val="9"/>
      <color indexed="81"/>
      <name val="Tahoma"/>
      <family val="2"/>
    </font>
    <font>
      <b/>
      <sz val="11"/>
      <color theme="0"/>
      <name val="Arial Unicode MS"/>
      <family val="2"/>
    </font>
    <font>
      <sz val="11"/>
      <color theme="1"/>
      <name val="Bahnschrift"/>
      <family val="2"/>
    </font>
    <font>
      <sz val="12"/>
      <color theme="1"/>
      <name val="Bookman Old Style"/>
      <family val="1"/>
    </font>
    <font>
      <sz val="14"/>
      <color rgb="FFFC5704"/>
      <name val="Broadway"/>
      <family val="5"/>
    </font>
    <font>
      <b/>
      <sz val="11"/>
      <color theme="0"/>
      <name val="Century"/>
      <family val="1"/>
    </font>
    <font>
      <b/>
      <sz val="11"/>
      <color theme="1"/>
      <name val="Arial Unicode MS"/>
      <family val="2"/>
    </font>
    <font>
      <sz val="11"/>
      <color theme="1"/>
      <name val="Arial Narrow"/>
      <family val="2"/>
    </font>
    <font>
      <b/>
      <sz val="11"/>
      <color theme="1"/>
      <name val="Bookman Old Style"/>
      <family val="1"/>
    </font>
    <font>
      <b/>
      <sz val="11"/>
      <color theme="8"/>
      <name val="Bookman Old Style"/>
      <family val="1"/>
    </font>
    <font>
      <b/>
      <sz val="11"/>
      <color rgb="FFF30DD2"/>
      <name val="Bookman Old Style"/>
      <family val="1"/>
    </font>
    <font>
      <b/>
      <sz val="14"/>
      <color rgb="FFFF0000"/>
      <name val="Berlin Sans FB Demi"/>
      <family val="2"/>
    </font>
    <font>
      <sz val="11"/>
      <color rgb="FF00B0F0"/>
      <name val="Broadway"/>
      <family val="5"/>
    </font>
    <font>
      <b/>
      <sz val="12"/>
      <color rgb="FF00B0F0"/>
      <name val="Arial Black"/>
      <family val="2"/>
    </font>
    <font>
      <b/>
      <sz val="11"/>
      <color theme="1"/>
      <name val="Lucida Console"/>
      <family val="3"/>
    </font>
    <font>
      <b/>
      <sz val="11"/>
      <color rgb="FFFF0000"/>
      <name val="Lucida Console"/>
      <family val="3"/>
    </font>
    <font>
      <u/>
      <sz val="16"/>
      <color rgb="FFFFFF00"/>
      <name val="Bernard MT Condensed"/>
      <family val="1"/>
    </font>
    <font>
      <b/>
      <sz val="11"/>
      <color theme="4" tint="0.79998168889431442"/>
      <name val="Gadugi"/>
      <family val="2"/>
    </font>
    <font>
      <b/>
      <sz val="11"/>
      <color rgb="FFC00000"/>
      <name val="Bahnschrift Light SemiCondensed"/>
      <family val="2"/>
    </font>
    <font>
      <b/>
      <sz val="11"/>
      <color rgb="FFC00000"/>
      <name val="Bahnschrift Light"/>
      <family val="2"/>
    </font>
    <font>
      <u/>
      <sz val="11"/>
      <color rgb="FFFF0000"/>
      <name val="Bahnschrift"/>
      <family val="2"/>
    </font>
    <font>
      <b/>
      <sz val="11"/>
      <color theme="9"/>
      <name val="Bahnschrift SemiLight"/>
      <family val="2"/>
    </font>
    <font>
      <sz val="11"/>
      <color theme="1"/>
      <name val="Ink Free"/>
      <family val="4"/>
    </font>
    <font>
      <sz val="10"/>
      <color theme="1"/>
      <name val="Ink Free"/>
      <family val="4"/>
    </font>
    <font>
      <sz val="14"/>
      <color theme="1"/>
      <name val="Freestyle Script"/>
      <family val="4"/>
    </font>
    <font>
      <sz val="14"/>
      <color rgb="FFFF0101"/>
      <name val="Freestyle Script"/>
      <family val="4"/>
    </font>
    <font>
      <sz val="14"/>
      <color rgb="FF002060"/>
      <name val="Freestyle Script"/>
      <family val="4"/>
    </font>
    <font>
      <sz val="11"/>
      <color rgb="FFFF0000"/>
      <name val="Calibri"/>
      <family val="2"/>
      <charset val="238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rgb="FFFC5704"/>
      <name val="Arial"/>
      <family val="2"/>
    </font>
    <font>
      <u/>
      <sz val="20"/>
      <color theme="1"/>
      <name val="Bernard MT Condensed"/>
      <family val="1"/>
    </font>
    <font>
      <u/>
      <sz val="20"/>
      <color theme="8" tint="-0.249977111117893"/>
      <name val="Bernard MT Condensed"/>
      <family val="1"/>
    </font>
    <font>
      <u/>
      <sz val="20"/>
      <color rgb="FFFC5704"/>
      <name val="Bernard MT Condensed"/>
      <family val="1"/>
    </font>
    <font>
      <u/>
      <sz val="16"/>
      <color rgb="FFFF0000"/>
      <name val="Bernard MT Condensed"/>
      <family val="1"/>
    </font>
    <font>
      <b/>
      <sz val="14"/>
      <color rgb="FF002060"/>
      <name val="Century"/>
      <family val="1"/>
    </font>
    <font>
      <b/>
      <sz val="14"/>
      <color rgb="FF002060"/>
      <name val="Microsoft YaHei"/>
      <family val="2"/>
    </font>
    <font>
      <u/>
      <sz val="18"/>
      <color rgb="FFFF0000"/>
      <name val="Bernard MT Condensed"/>
      <family val="1"/>
    </font>
    <font>
      <b/>
      <sz val="14"/>
      <color rgb="FFFC5704"/>
      <name val="Microsoft YaHei"/>
      <family val="2"/>
    </font>
    <font>
      <b/>
      <sz val="16"/>
      <color theme="8"/>
      <name val="Informal Roman"/>
      <family val="4"/>
    </font>
    <font>
      <b/>
      <u/>
      <sz val="14"/>
      <color rgb="FFFF0101"/>
      <name val="Comic Sans MS"/>
      <family val="4"/>
    </font>
    <font>
      <b/>
      <sz val="12"/>
      <color theme="1"/>
      <name val="Times New Roman"/>
      <family val="1"/>
    </font>
    <font>
      <sz val="10"/>
      <color rgb="FF333333"/>
      <name val="Arial"/>
      <family val="2"/>
    </font>
    <font>
      <b/>
      <sz val="11"/>
      <color theme="1"/>
      <name val="Arial"/>
      <family val="2"/>
    </font>
    <font>
      <b/>
      <sz val="11"/>
      <color rgb="FFFF3D01"/>
      <name val="Arial"/>
      <family val="2"/>
    </font>
    <font>
      <i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2"/>
      <color theme="9" tint="-0.499984740745262"/>
      <name val="Times New Roman"/>
      <family val="1"/>
    </font>
    <font>
      <b/>
      <i/>
      <sz val="12"/>
      <color theme="9" tint="-0.499984740745262"/>
      <name val="Times New Roman"/>
      <family val="1"/>
    </font>
    <font>
      <sz val="11"/>
      <color theme="1"/>
      <name val="Bell MT"/>
      <family val="1"/>
    </font>
    <font>
      <sz val="11"/>
      <color rgb="FFFF0000"/>
      <name val="Bahnschrift SemiCondensed"/>
      <family val="2"/>
    </font>
    <font>
      <b/>
      <sz val="11"/>
      <color theme="1"/>
      <name val="Arial Narrow"/>
      <family val="2"/>
    </font>
    <font>
      <sz val="11"/>
      <color theme="1"/>
      <name val="Arial Unicode MS"/>
      <family val="2"/>
    </font>
    <font>
      <b/>
      <sz val="11"/>
      <color theme="0"/>
      <name val="Gadugi"/>
      <family val="2"/>
    </font>
    <font>
      <b/>
      <sz val="11"/>
      <color theme="1"/>
      <name val="Bahnschrift"/>
      <family val="2"/>
    </font>
    <font>
      <sz val="11"/>
      <color rgb="FFFFC000"/>
      <name val="Brush Script MT"/>
      <family val="4"/>
    </font>
    <font>
      <sz val="11"/>
      <color theme="1"/>
      <name val="Bookman Old Style"/>
      <family val="1"/>
    </font>
    <font>
      <b/>
      <i/>
      <sz val="11"/>
      <color theme="0"/>
      <name val="Bahnschrift Light Condensed"/>
      <family val="2"/>
    </font>
    <font>
      <b/>
      <sz val="11"/>
      <name val="Bahnschrift"/>
      <family val="2"/>
    </font>
    <font>
      <sz val="11"/>
      <name val="Bahnschrift"/>
      <family val="2"/>
    </font>
    <font>
      <sz val="11"/>
      <color theme="1"/>
      <name val="Bahnschrift Light SemiCondensed"/>
      <family val="2"/>
    </font>
    <font>
      <b/>
      <sz val="11"/>
      <color rgb="FF2DE61A"/>
      <name val="Bahnschrift Light SemiCondensed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2"/>
      <color theme="1"/>
      <name val="Bahnschrift SemiLight Condensed"/>
      <family val="2"/>
    </font>
    <font>
      <sz val="11"/>
      <color theme="9" tint="-0.499984740745262"/>
      <name val="Arial"/>
      <family val="2"/>
    </font>
    <font>
      <sz val="11"/>
      <color theme="9" tint="-0.499984740745262"/>
      <name val="Calibri"/>
      <family val="2"/>
      <charset val="238"/>
      <scheme val="minor"/>
    </font>
    <font>
      <i/>
      <sz val="11"/>
      <color theme="9" tint="-0.499984740745262"/>
      <name val="Lucida Calligraphy"/>
      <family val="4"/>
    </font>
    <font>
      <sz val="11"/>
      <color theme="9" tint="-0.499984740745262"/>
      <name val="Lucida Calligraphy"/>
      <family val="4"/>
    </font>
    <font>
      <b/>
      <i/>
      <sz val="12"/>
      <name val="Gadugi"/>
      <family val="2"/>
    </font>
    <font>
      <sz val="11"/>
      <color rgb="FFFF6600"/>
      <name val="Calibri"/>
      <family val="2"/>
      <charset val="238"/>
      <scheme val="minor"/>
    </font>
    <font>
      <u/>
      <sz val="12"/>
      <color rgb="FFFF6600"/>
      <name val="Bahnschrift SemiBold"/>
      <family val="2"/>
    </font>
    <font>
      <sz val="12"/>
      <color rgb="FFFF6600"/>
      <name val="Bahnschrift SemiBold"/>
      <family val="2"/>
    </font>
    <font>
      <sz val="10"/>
      <color rgb="FFFFC000"/>
      <name val="Freestyle Script"/>
      <family val="4"/>
    </font>
  </fonts>
  <fills count="34">
    <fill>
      <patternFill patternType="none"/>
    </fill>
    <fill>
      <patternFill patternType="gray125"/>
    </fill>
    <fill>
      <patternFill patternType="solid">
        <fgColor rgb="FFFC570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740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0DD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DE61A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BBE9"/>
        <bgColor indexed="64"/>
      </patternFill>
    </fill>
    <fill>
      <patternFill patternType="solid">
        <fgColor rgb="FFC00000"/>
        <bgColor indexed="64"/>
      </patternFill>
    </fill>
  </fills>
  <borders count="1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 diagonalDown="1">
      <left/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8" tint="-0.499984740745262"/>
      </left>
      <right style="mediumDashed">
        <color theme="8" tint="-0.499984740745262"/>
      </right>
      <top style="mediumDashed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Dashed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Dashed">
        <color theme="8" tint="-0.499984740745262"/>
      </right>
      <top style="medium">
        <color theme="8" tint="-0.499984740745262"/>
      </top>
      <bottom style="mediumDashed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/>
      <right style="thick">
        <color rgb="FF002060"/>
      </right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medium">
        <color rgb="FF002060"/>
      </left>
      <right/>
      <top style="thick">
        <color rgb="FF002060"/>
      </top>
      <bottom/>
      <diagonal/>
    </border>
    <border>
      <left/>
      <right style="medium">
        <color rgb="FF002060"/>
      </right>
      <top style="thick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002060"/>
      </top>
      <bottom/>
      <diagonal/>
    </border>
    <border>
      <left/>
      <right style="thick">
        <color rgb="FFFF0000"/>
      </right>
      <top style="thick">
        <color rgb="FF00206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 diagonalDown="1">
      <left/>
      <right/>
      <top style="thick">
        <color indexed="64"/>
      </top>
      <bottom/>
      <diagonal style="thick">
        <color rgb="FFFF0000"/>
      </diagonal>
    </border>
    <border diagonalDown="1">
      <left/>
      <right style="thick">
        <color indexed="64"/>
      </right>
      <top style="thick">
        <color indexed="64"/>
      </top>
      <bottom/>
      <diagonal style="thick">
        <color rgb="FFFF0000"/>
      </diagonal>
    </border>
    <border diagonalDown="1">
      <left/>
      <right/>
      <top/>
      <bottom/>
      <diagonal style="thick">
        <color rgb="FFFF0000"/>
      </diagonal>
    </border>
    <border diagonalDown="1">
      <left/>
      <right style="thick">
        <color indexed="64"/>
      </right>
      <top/>
      <bottom/>
      <diagonal style="thick">
        <color rgb="FFFF0000"/>
      </diagonal>
    </border>
    <border diagonalDown="1">
      <left/>
      <right/>
      <top/>
      <bottom style="thick">
        <color indexed="64"/>
      </bottom>
      <diagonal style="thick">
        <color rgb="FFFF0000"/>
      </diagonal>
    </border>
    <border diagonalDown="1">
      <left/>
      <right style="thick">
        <color indexed="64"/>
      </right>
      <top/>
      <bottom style="thick">
        <color indexed="64"/>
      </bottom>
      <diagonal style="thick">
        <color rgb="FFFF0000"/>
      </diagonal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thick">
        <color rgb="FF002060"/>
      </left>
      <right/>
      <top style="mediumDashed">
        <color rgb="FFFF0000"/>
      </top>
      <bottom/>
      <diagonal/>
    </border>
    <border>
      <left style="thick">
        <color rgb="FF002060"/>
      </left>
      <right/>
      <top/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thick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thick">
        <color rgb="FFFF0000"/>
      </right>
      <top/>
      <bottom style="mediumDashed">
        <color rgb="FFFF0000"/>
      </bottom>
      <diagonal/>
    </border>
    <border>
      <left style="thick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thick">
        <color rgb="FFFF0000"/>
      </right>
      <top style="mediumDashed">
        <color rgb="FFFF0000"/>
      </top>
      <bottom/>
      <diagonal/>
    </border>
    <border>
      <left style="medium">
        <color rgb="FF002060"/>
      </left>
      <right/>
      <top style="mediumDashed">
        <color rgb="FF002060"/>
      </top>
      <bottom/>
      <diagonal/>
    </border>
    <border>
      <left/>
      <right style="medium">
        <color rgb="FF002060"/>
      </right>
      <top style="mediumDashed">
        <color rgb="FF002060"/>
      </top>
      <bottom/>
      <diagonal/>
    </border>
    <border>
      <left style="medium">
        <color rgb="FF002060"/>
      </left>
      <right/>
      <top/>
      <bottom style="mediumDashed">
        <color rgb="FF002060"/>
      </bottom>
      <diagonal/>
    </border>
    <border>
      <left/>
      <right style="medium">
        <color rgb="FF002060"/>
      </right>
      <top/>
      <bottom style="mediumDashed">
        <color rgb="FF002060"/>
      </bottom>
      <diagonal/>
    </border>
    <border>
      <left style="thick">
        <color theme="8" tint="-0.499984740745262"/>
      </left>
      <right/>
      <top style="mediumDashed">
        <color rgb="FFFF0000"/>
      </top>
      <bottom/>
      <diagonal/>
    </border>
    <border>
      <left style="thick">
        <color theme="8" tint="-0.499984740745262"/>
      </left>
      <right/>
      <top/>
      <bottom/>
      <diagonal/>
    </border>
    <border>
      <left style="thick">
        <color theme="8" tint="-0.499984740745262"/>
      </left>
      <right/>
      <top/>
      <bottom style="mediumDashed">
        <color rgb="FFFF0000"/>
      </bottom>
      <diagonal/>
    </border>
    <border>
      <left style="mediumDashed">
        <color rgb="FFFF0000"/>
      </left>
      <right/>
      <top style="thick">
        <color rgb="FF002060"/>
      </top>
      <bottom/>
      <diagonal/>
    </border>
    <border>
      <left/>
      <right style="mediumDashed">
        <color rgb="FFFF0000"/>
      </right>
      <top style="thick">
        <color rgb="FF002060"/>
      </top>
      <bottom/>
      <diagonal/>
    </border>
    <border>
      <left style="mediumDashed">
        <color rgb="FFFF0000"/>
      </left>
      <right/>
      <top/>
      <bottom style="thick">
        <color rgb="FF002060"/>
      </bottom>
      <diagonal/>
    </border>
    <border>
      <left/>
      <right style="mediumDashed">
        <color rgb="FFFF0000"/>
      </right>
      <top/>
      <bottom style="thick">
        <color rgb="FF002060"/>
      </bottom>
      <diagonal/>
    </border>
    <border>
      <left/>
      <right style="thick">
        <color rgb="FF002060"/>
      </right>
      <top style="mediumDashed">
        <color rgb="FFFF0000"/>
      </top>
      <bottom/>
      <diagonal/>
    </border>
    <border>
      <left/>
      <right style="thick">
        <color rgb="FF002060"/>
      </right>
      <top/>
      <bottom style="mediumDashed">
        <color rgb="FFFF0000"/>
      </bottom>
      <diagonal/>
    </border>
    <border>
      <left/>
      <right style="thick">
        <color theme="8" tint="-0.499984740745262"/>
      </right>
      <top style="mediumDashed">
        <color rgb="FFFF0000"/>
      </top>
      <bottom/>
      <diagonal/>
    </border>
    <border>
      <left/>
      <right style="thick">
        <color theme="8" tint="-0.499984740745262"/>
      </right>
      <top/>
      <bottom/>
      <diagonal/>
    </border>
    <border>
      <left/>
      <right style="thick">
        <color theme="8" tint="-0.499984740745262"/>
      </right>
      <top/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thick">
        <color rgb="FF002060"/>
      </top>
      <bottom/>
      <diagonal/>
    </border>
    <border>
      <left style="mediumDashed">
        <color rgb="FFFF0000"/>
      </left>
      <right style="mediumDashed">
        <color rgb="FFFF0000"/>
      </right>
      <top/>
      <bottom style="thick">
        <color rgb="FF002060"/>
      </bottom>
      <diagonal/>
    </border>
    <border>
      <left style="medium">
        <color rgb="FF002060"/>
      </left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thick">
        <color rgb="FF002060"/>
      </right>
      <top/>
      <bottom/>
      <diagonal/>
    </border>
    <border>
      <left style="mediumDashDot">
        <color rgb="FF7030A0"/>
      </left>
      <right/>
      <top style="mediumDashDot">
        <color rgb="FF7030A0"/>
      </top>
      <bottom/>
      <diagonal/>
    </border>
    <border>
      <left/>
      <right style="mediumDashDot">
        <color rgb="FF7030A0"/>
      </right>
      <top style="mediumDashDot">
        <color rgb="FF7030A0"/>
      </top>
      <bottom/>
      <diagonal/>
    </border>
    <border>
      <left style="mediumDashDot">
        <color rgb="FF7030A0"/>
      </left>
      <right/>
      <top/>
      <bottom/>
      <diagonal/>
    </border>
    <border>
      <left/>
      <right style="mediumDashDot">
        <color rgb="FF7030A0"/>
      </right>
      <top/>
      <bottom/>
      <diagonal/>
    </border>
    <border>
      <left style="mediumDashDot">
        <color rgb="FF7030A0"/>
      </left>
      <right/>
      <top/>
      <bottom style="thick">
        <color rgb="FF002060"/>
      </bottom>
      <diagonal/>
    </border>
    <border>
      <left/>
      <right style="mediumDashDot">
        <color rgb="FF7030A0"/>
      </right>
      <top/>
      <bottom style="thick">
        <color rgb="FF002060"/>
      </bottom>
      <diagonal/>
    </border>
    <border>
      <left/>
      <right style="thick">
        <color rgb="FF002060"/>
      </right>
      <top style="mediumDashDot">
        <color rgb="FF7030A0"/>
      </top>
      <bottom/>
      <diagonal/>
    </border>
    <border>
      <left style="slantDashDot">
        <color rgb="FF0070C0"/>
      </left>
      <right/>
      <top style="slantDashDot">
        <color rgb="FF0070C0"/>
      </top>
      <bottom/>
      <diagonal/>
    </border>
    <border>
      <left/>
      <right/>
      <top style="slantDashDot">
        <color rgb="FF0070C0"/>
      </top>
      <bottom/>
      <diagonal/>
    </border>
    <border>
      <left/>
      <right style="slantDashDot">
        <color rgb="FF0070C0"/>
      </right>
      <top style="slantDashDot">
        <color rgb="FF0070C0"/>
      </top>
      <bottom/>
      <diagonal/>
    </border>
    <border>
      <left style="slantDashDot">
        <color rgb="FF0070C0"/>
      </left>
      <right/>
      <top/>
      <bottom/>
      <diagonal/>
    </border>
    <border>
      <left/>
      <right style="slantDashDot">
        <color rgb="FF0070C0"/>
      </right>
      <top/>
      <bottom/>
      <diagonal/>
    </border>
    <border>
      <left style="slantDashDot">
        <color rgb="FF0070C0"/>
      </left>
      <right/>
      <top/>
      <bottom style="slantDashDot">
        <color rgb="FF0070C0"/>
      </bottom>
      <diagonal/>
    </border>
    <border>
      <left/>
      <right/>
      <top/>
      <bottom style="slantDashDot">
        <color rgb="FF0070C0"/>
      </bottom>
      <diagonal/>
    </border>
    <border>
      <left/>
      <right style="slantDashDot">
        <color rgb="FF0070C0"/>
      </right>
      <top/>
      <bottom style="slantDashDot">
        <color rgb="FF0070C0"/>
      </bottom>
      <diagonal/>
    </border>
    <border>
      <left style="dashDotDot">
        <color rgb="FF0070C0"/>
      </left>
      <right/>
      <top style="dashDotDot">
        <color rgb="FF0070C0"/>
      </top>
      <bottom/>
      <diagonal/>
    </border>
    <border>
      <left/>
      <right/>
      <top style="dashDotDot">
        <color rgb="FF0070C0"/>
      </top>
      <bottom/>
      <diagonal/>
    </border>
    <border>
      <left/>
      <right style="dashDotDot">
        <color rgb="FF0070C0"/>
      </right>
      <top style="dashDotDot">
        <color rgb="FF0070C0"/>
      </top>
      <bottom/>
      <diagonal/>
    </border>
    <border>
      <left style="dashDotDot">
        <color rgb="FF0070C0"/>
      </left>
      <right/>
      <top/>
      <bottom/>
      <diagonal/>
    </border>
    <border>
      <left/>
      <right style="dashDotDot">
        <color rgb="FF0070C0"/>
      </right>
      <top/>
      <bottom/>
      <diagonal/>
    </border>
    <border>
      <left style="dashDotDot">
        <color rgb="FF0070C0"/>
      </left>
      <right/>
      <top/>
      <bottom style="dashDotDot">
        <color rgb="FF0070C0"/>
      </bottom>
      <diagonal/>
    </border>
    <border>
      <left/>
      <right/>
      <top/>
      <bottom style="dashDotDot">
        <color rgb="FF0070C0"/>
      </bottom>
      <diagonal/>
    </border>
    <border>
      <left/>
      <right style="dashDotDot">
        <color rgb="FF0070C0"/>
      </right>
      <top/>
      <bottom style="dashDotDot">
        <color rgb="FF0070C0"/>
      </bottom>
      <diagonal/>
    </border>
    <border>
      <left style="dashed">
        <color rgb="FF0070C0"/>
      </left>
      <right/>
      <top style="dashed">
        <color rgb="FF0070C0"/>
      </top>
      <bottom/>
      <diagonal/>
    </border>
    <border>
      <left/>
      <right/>
      <top style="dashed">
        <color rgb="FF0070C0"/>
      </top>
      <bottom/>
      <diagonal/>
    </border>
    <border>
      <left/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/>
      <top/>
      <bottom/>
      <diagonal/>
    </border>
    <border>
      <left/>
      <right style="dashed">
        <color rgb="FF0070C0"/>
      </right>
      <top/>
      <bottom/>
      <diagonal/>
    </border>
    <border>
      <left style="dashed">
        <color rgb="FF0070C0"/>
      </left>
      <right/>
      <top/>
      <bottom style="dashed">
        <color rgb="FF0070C0"/>
      </bottom>
      <diagonal/>
    </border>
    <border>
      <left/>
      <right/>
      <top/>
      <bottom style="dashed">
        <color rgb="FF0070C0"/>
      </bottom>
      <diagonal/>
    </border>
    <border>
      <left/>
      <right style="dashed">
        <color rgb="FF0070C0"/>
      </right>
      <top/>
      <bottom style="dashed">
        <color rgb="FF0070C0"/>
      </bottom>
      <diagonal/>
    </border>
    <border>
      <left style="thick">
        <color rgb="FF002060"/>
      </left>
      <right style="mediumDashDotDot">
        <color rgb="FF002060"/>
      </right>
      <top style="thick">
        <color rgb="FF002060"/>
      </top>
      <bottom/>
      <diagonal/>
    </border>
    <border>
      <left style="thick">
        <color rgb="FF002060"/>
      </left>
      <right style="mediumDashDotDot">
        <color rgb="FF002060"/>
      </right>
      <top/>
      <bottom/>
      <diagonal/>
    </border>
    <border>
      <left style="thick">
        <color rgb="FF002060"/>
      </left>
      <right style="mediumDashDotDot">
        <color rgb="FF002060"/>
      </right>
      <top/>
      <bottom style="mediumDashDotDot">
        <color rgb="FF002060"/>
      </bottom>
      <diagonal/>
    </border>
    <border>
      <left style="mediumDashDotDot">
        <color rgb="FF002060"/>
      </left>
      <right style="dashDotDot">
        <color rgb="FFFF0101"/>
      </right>
      <top style="thick">
        <color rgb="FF002060"/>
      </top>
      <bottom/>
      <diagonal/>
    </border>
    <border>
      <left style="mediumDashDotDot">
        <color rgb="FF002060"/>
      </left>
      <right style="dashDotDot">
        <color rgb="FFFF0101"/>
      </right>
      <top/>
      <bottom style="dashDotDot">
        <color rgb="FFFF0101"/>
      </bottom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 style="mediumDashDotDot">
        <color rgb="FFFF0000"/>
      </left>
      <right style="mediumDashDotDot">
        <color rgb="FFFF0000"/>
      </right>
      <top style="mediumDashDotDot">
        <color rgb="FFFF0000"/>
      </top>
      <bottom/>
      <diagonal/>
    </border>
    <border>
      <left style="mediumDashDotDot">
        <color rgb="FFFF0000"/>
      </left>
      <right style="mediumDashDotDot">
        <color rgb="FFFF0000"/>
      </right>
      <top/>
      <bottom style="thick">
        <color rgb="FF002060"/>
      </bottom>
      <diagonal/>
    </border>
    <border>
      <left style="double">
        <color rgb="FFFF0101"/>
      </left>
      <right style="double">
        <color rgb="FFFF0101"/>
      </right>
      <top style="double">
        <color rgb="FFFF0101"/>
      </top>
      <bottom style="double">
        <color rgb="FFFF0101"/>
      </bottom>
      <diagonal/>
    </border>
    <border>
      <left style="double">
        <color rgb="FFFF3D01"/>
      </left>
      <right/>
      <top style="mediumDashed">
        <color rgb="FFFF3D01"/>
      </top>
      <bottom/>
      <diagonal/>
    </border>
    <border>
      <left/>
      <right/>
      <top style="mediumDashed">
        <color rgb="FFFF3D01"/>
      </top>
      <bottom/>
      <diagonal/>
    </border>
    <border>
      <left/>
      <right style="thick">
        <color rgb="FF002060"/>
      </right>
      <top style="mediumDashed">
        <color rgb="FFFF3D01"/>
      </top>
      <bottom/>
      <diagonal/>
    </border>
    <border>
      <left style="double">
        <color rgb="FFFF3D01"/>
      </left>
      <right/>
      <top/>
      <bottom/>
      <diagonal/>
    </border>
    <border>
      <left style="double">
        <color rgb="FFFF3D01"/>
      </left>
      <right/>
      <top/>
      <bottom style="thick">
        <color rgb="FF002060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rgb="FF002060"/>
      </left>
      <right style="thick">
        <color rgb="FFFF3D01"/>
      </right>
      <top style="thick">
        <color rgb="FFFF3D01"/>
      </top>
      <bottom style="thick">
        <color rgb="FFFF3D0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mediumDashed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Dashed">
        <color theme="8" tint="-0.499984740745262"/>
      </left>
      <right/>
      <top style="medium">
        <color theme="8" tint="-0.499984740745262"/>
      </top>
      <bottom style="mediumDashed">
        <color theme="8" tint="-0.499984740745262"/>
      </bottom>
      <diagonal/>
    </border>
    <border>
      <left/>
      <right/>
      <top style="medium">
        <color theme="8" tint="-0.499984740745262"/>
      </top>
      <bottom style="mediumDashed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Dashed">
        <color theme="8" tint="-0.499984740745262"/>
      </bottom>
      <diagonal/>
    </border>
    <border>
      <left style="double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double">
        <color theme="4" tint="-0.24994659260841701"/>
      </bottom>
      <diagonal/>
    </border>
    <border>
      <left style="mediumDashed">
        <color theme="8" tint="-0.499984740745262"/>
      </left>
      <right/>
      <top style="mediumDashed">
        <color theme="8" tint="-0.499984740745262"/>
      </top>
      <bottom style="medium">
        <color theme="8" tint="-0.499984740745262"/>
      </bottom>
      <diagonal/>
    </border>
    <border>
      <left/>
      <right/>
      <top style="mediumDashed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Dashed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medium">
        <color auto="1"/>
      </bottom>
      <diagonal/>
    </border>
    <border>
      <left style="medium">
        <color rgb="FF002060"/>
      </left>
      <right style="thin">
        <color indexed="64"/>
      </right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9" fontId="1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15" fillId="26" borderId="0" applyNumberFormat="0" applyBorder="0" applyAlignment="0" applyProtection="0"/>
  </cellStyleXfs>
  <cellXfs count="35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8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9" fillId="4" borderId="0" xfId="0" applyFont="1" applyFill="1" applyAlignment="1">
      <alignment vertical="center"/>
    </xf>
    <xf numFmtId="0" fontId="0" fillId="4" borderId="0" xfId="0" applyFill="1"/>
    <xf numFmtId="0" fontId="12" fillId="4" borderId="0" xfId="0" applyFont="1" applyFill="1"/>
    <xf numFmtId="22" fontId="0" fillId="4" borderId="0" xfId="0" applyNumberFormat="1" applyFill="1"/>
    <xf numFmtId="0" fontId="0" fillId="5" borderId="0" xfId="0" applyFill="1"/>
    <xf numFmtId="0" fontId="14" fillId="5" borderId="0" xfId="0" applyFont="1" applyFill="1"/>
    <xf numFmtId="0" fontId="6" fillId="5" borderId="0" xfId="1" applyFill="1"/>
    <xf numFmtId="0" fontId="6" fillId="4" borderId="0" xfId="1" applyFill="1"/>
    <xf numFmtId="0" fontId="15" fillId="7" borderId="1" xfId="4" applyBorder="1" applyAlignment="1">
      <alignment horizontal="right"/>
    </xf>
    <xf numFmtId="0" fontId="15" fillId="7" borderId="3" xfId="4" applyBorder="1" applyAlignment="1">
      <alignment horizontal="right"/>
    </xf>
    <xf numFmtId="0" fontId="0" fillId="10" borderId="0" xfId="0" applyFill="1"/>
    <xf numFmtId="0" fontId="0" fillId="10" borderId="0" xfId="0" applyFill="1" applyAlignment="1"/>
    <xf numFmtId="166" fontId="19" fillId="7" borderId="6" xfId="4" applyNumberFormat="1" applyFont="1" applyBorder="1"/>
    <xf numFmtId="0" fontId="19" fillId="7" borderId="7" xfId="4" applyFont="1" applyBorder="1" applyAlignment="1">
      <alignment horizontal="right"/>
    </xf>
    <xf numFmtId="0" fontId="19" fillId="7" borderId="8" xfId="4" applyFont="1" applyBorder="1" applyAlignment="1">
      <alignment horizontal="right"/>
    </xf>
    <xf numFmtId="0" fontId="18" fillId="7" borderId="2" xfId="4" applyFont="1" applyBorder="1"/>
    <xf numFmtId="0" fontId="18" fillId="7" borderId="1" xfId="4" applyFont="1" applyBorder="1"/>
    <xf numFmtId="0" fontId="18" fillId="7" borderId="3" xfId="4" applyFont="1" applyBorder="1"/>
    <xf numFmtId="166" fontId="18" fillId="7" borderId="2" xfId="4" applyNumberFormat="1" applyFont="1" applyBorder="1"/>
    <xf numFmtId="0" fontId="21" fillId="6" borderId="9" xfId="3" applyFont="1" applyBorder="1" applyAlignment="1">
      <alignment horizontal="left" vertical="center" wrapText="1"/>
    </xf>
    <xf numFmtId="49" fontId="21" fillId="6" borderId="4" xfId="3" applyNumberFormat="1" applyFont="1" applyBorder="1" applyAlignment="1">
      <alignment horizontal="center" wrapText="1"/>
    </xf>
    <xf numFmtId="49" fontId="21" fillId="6" borderId="5" xfId="3" applyNumberFormat="1" applyFont="1" applyBorder="1" applyAlignment="1">
      <alignment horizontal="center" wrapText="1"/>
    </xf>
    <xf numFmtId="0" fontId="16" fillId="5" borderId="0" xfId="2" applyFill="1" applyAlignment="1">
      <alignment horizontal="center"/>
    </xf>
    <xf numFmtId="0" fontId="16" fillId="4" borderId="0" xfId="2" applyFill="1"/>
    <xf numFmtId="0" fontId="16" fillId="10" borderId="0" xfId="2" applyFill="1" applyAlignment="1">
      <alignment horizontal="center"/>
    </xf>
    <xf numFmtId="0" fontId="11" fillId="10" borderId="0" xfId="0" applyFont="1" applyFill="1"/>
    <xf numFmtId="0" fontId="6" fillId="10" borderId="0" xfId="1" applyFill="1"/>
    <xf numFmtId="0" fontId="22" fillId="7" borderId="3" xfId="4" applyFont="1" applyBorder="1" applyAlignment="1">
      <alignment horizontal="right"/>
    </xf>
    <xf numFmtId="0" fontId="28" fillId="11" borderId="11" xfId="0" applyFont="1" applyFill="1" applyBorder="1" applyAlignment="1">
      <alignment horizontal="center" vertical="center"/>
    </xf>
    <xf numFmtId="0" fontId="28" fillId="11" borderId="11" xfId="0" applyFont="1" applyFill="1" applyBorder="1" applyAlignment="1">
      <alignment horizontal="center" vertical="center" wrapText="1"/>
    </xf>
    <xf numFmtId="0" fontId="21" fillId="11" borderId="11" xfId="0" applyFont="1" applyFill="1" applyBorder="1"/>
    <xf numFmtId="0" fontId="18" fillId="9" borderId="11" xfId="0" applyFont="1" applyFill="1" applyBorder="1"/>
    <xf numFmtId="167" fontId="18" fillId="9" borderId="11" xfId="0" applyNumberFormat="1" applyFont="1" applyFill="1" applyBorder="1"/>
    <xf numFmtId="168" fontId="18" fillId="9" borderId="11" xfId="0" applyNumberFormat="1" applyFont="1" applyFill="1" applyBorder="1"/>
    <xf numFmtId="170" fontId="18" fillId="9" borderId="11" xfId="0" applyNumberFormat="1" applyFont="1" applyFill="1" applyBorder="1"/>
    <xf numFmtId="0" fontId="29" fillId="9" borderId="12" xfId="0" applyFont="1" applyFill="1" applyBorder="1" applyAlignment="1">
      <alignment horizontal="center"/>
    </xf>
    <xf numFmtId="167" fontId="29" fillId="9" borderId="13" xfId="0" applyNumberFormat="1" applyFont="1" applyFill="1" applyBorder="1" applyAlignment="1">
      <alignment horizontal="center"/>
    </xf>
    <xf numFmtId="0" fontId="29" fillId="9" borderId="13" xfId="0" applyFont="1" applyFill="1" applyBorder="1" applyAlignment="1">
      <alignment horizontal="center"/>
    </xf>
    <xf numFmtId="49" fontId="11" fillId="10" borderId="0" xfId="0" applyNumberFormat="1" applyFont="1" applyFill="1"/>
    <xf numFmtId="49" fontId="23" fillId="10" borderId="0" xfId="0" applyNumberFormat="1" applyFont="1" applyFill="1"/>
    <xf numFmtId="49" fontId="11" fillId="4" borderId="0" xfId="0" applyNumberFormat="1" applyFont="1" applyFill="1" applyAlignment="1"/>
    <xf numFmtId="49" fontId="10" fillId="4" borderId="0" xfId="0" applyNumberFormat="1" applyFont="1" applyFill="1" applyAlignment="1">
      <alignment vertical="center"/>
    </xf>
    <xf numFmtId="49" fontId="0" fillId="4" borderId="0" xfId="0" applyNumberFormat="1" applyFill="1"/>
    <xf numFmtId="49" fontId="0" fillId="10" borderId="0" xfId="0" applyNumberFormat="1" applyFill="1"/>
    <xf numFmtId="49" fontId="0" fillId="10" borderId="0" xfId="0" applyNumberFormat="1" applyFill="1" applyAlignment="1"/>
    <xf numFmtId="49" fontId="0" fillId="5" borderId="0" xfId="0" applyNumberFormat="1" applyFill="1"/>
    <xf numFmtId="49" fontId="30" fillId="5" borderId="0" xfId="0" applyNumberFormat="1" applyFont="1" applyFill="1"/>
    <xf numFmtId="0" fontId="16" fillId="5" borderId="0" xfId="2" applyFill="1"/>
    <xf numFmtId="0" fontId="32" fillId="13" borderId="18" xfId="4" applyFont="1" applyFill="1" applyBorder="1" applyAlignment="1">
      <alignment horizontal="center" vertical="top"/>
    </xf>
    <xf numFmtId="0" fontId="32" fillId="13" borderId="19" xfId="4" applyFont="1" applyFill="1" applyBorder="1" applyAlignment="1">
      <alignment horizontal="center" vertical="top"/>
    </xf>
    <xf numFmtId="0" fontId="32" fillId="13" borderId="19" xfId="4" applyFont="1" applyFill="1" applyBorder="1" applyAlignment="1">
      <alignment horizontal="center" vertical="top" wrapText="1"/>
    </xf>
    <xf numFmtId="0" fontId="32" fillId="13" borderId="20" xfId="4" applyFont="1" applyFill="1" applyBorder="1" applyAlignment="1">
      <alignment horizontal="center" vertical="top"/>
    </xf>
    <xf numFmtId="0" fontId="33" fillId="12" borderId="16" xfId="4" applyFont="1" applyFill="1" applyBorder="1"/>
    <xf numFmtId="0" fontId="33" fillId="12" borderId="15" xfId="4" applyFont="1" applyFill="1" applyBorder="1"/>
    <xf numFmtId="0" fontId="33" fillId="12" borderId="21" xfId="4" applyFont="1" applyFill="1" applyBorder="1"/>
    <xf numFmtId="0" fontId="33" fillId="12" borderId="22" xfId="4" applyFont="1" applyFill="1" applyBorder="1"/>
    <xf numFmtId="1" fontId="34" fillId="12" borderId="15" xfId="0" applyNumberFormat="1" applyFont="1" applyFill="1" applyBorder="1"/>
    <xf numFmtId="0" fontId="34" fillId="12" borderId="15" xfId="0" applyFont="1" applyFill="1" applyBorder="1" applyAlignment="1">
      <alignment horizontal="center"/>
    </xf>
    <xf numFmtId="14" fontId="34" fillId="12" borderId="15" xfId="0" applyNumberFormat="1" applyFont="1" applyFill="1" applyBorder="1"/>
    <xf numFmtId="0" fontId="34" fillId="12" borderId="15" xfId="0" applyFont="1" applyFill="1" applyBorder="1"/>
    <xf numFmtId="168" fontId="34" fillId="12" borderId="15" xfId="0" applyNumberFormat="1" applyFont="1" applyFill="1" applyBorder="1"/>
    <xf numFmtId="1" fontId="34" fillId="12" borderId="22" xfId="0" applyNumberFormat="1" applyFont="1" applyFill="1" applyBorder="1"/>
    <xf numFmtId="0" fontId="34" fillId="12" borderId="22" xfId="0" applyFont="1" applyFill="1" applyBorder="1" applyAlignment="1">
      <alignment horizontal="center"/>
    </xf>
    <xf numFmtId="14" fontId="34" fillId="12" borderId="22" xfId="0" applyNumberFormat="1" applyFont="1" applyFill="1" applyBorder="1"/>
    <xf numFmtId="0" fontId="34" fillId="12" borderId="22" xfId="0" applyFont="1" applyFill="1" applyBorder="1"/>
    <xf numFmtId="168" fontId="34" fillId="12" borderId="22" xfId="0" applyNumberFormat="1" applyFont="1" applyFill="1" applyBorder="1"/>
    <xf numFmtId="1" fontId="34" fillId="12" borderId="17" xfId="0" applyNumberFormat="1" applyFont="1" applyFill="1" applyBorder="1"/>
    <xf numFmtId="1" fontId="34" fillId="12" borderId="23" xfId="0" applyNumberFormat="1" applyFont="1" applyFill="1" applyBorder="1"/>
    <xf numFmtId="0" fontId="11" fillId="15" borderId="24" xfId="0" applyFont="1" applyFill="1" applyBorder="1"/>
    <xf numFmtId="49" fontId="11" fillId="14" borderId="24" xfId="0" applyNumberFormat="1" applyFont="1" applyFill="1" applyBorder="1"/>
    <xf numFmtId="0" fontId="6" fillId="5" borderId="0" xfId="1" applyFill="1" applyAlignment="1">
      <alignment horizontal="center" vertical="top"/>
    </xf>
    <xf numFmtId="0" fontId="0" fillId="12" borderId="28" xfId="0" applyFill="1" applyBorder="1"/>
    <xf numFmtId="0" fontId="0" fillId="12" borderId="28" xfId="0" applyFill="1" applyBorder="1" applyAlignment="1"/>
    <xf numFmtId="0" fontId="0" fillId="12" borderId="29" xfId="0" applyFill="1" applyBorder="1"/>
    <xf numFmtId="0" fontId="0" fillId="12" borderId="0" xfId="0" applyFill="1" applyBorder="1"/>
    <xf numFmtId="0" fontId="0" fillId="12" borderId="0" xfId="0" applyFill="1" applyBorder="1" applyAlignment="1"/>
    <xf numFmtId="0" fontId="0" fillId="12" borderId="31" xfId="0" applyFill="1" applyBorder="1"/>
    <xf numFmtId="0" fontId="0" fillId="12" borderId="30" xfId="0" applyFill="1" applyBorder="1"/>
    <xf numFmtId="0" fontId="0" fillId="12" borderId="30" xfId="0" applyFill="1" applyBorder="1" applyAlignment="1"/>
    <xf numFmtId="0" fontId="0" fillId="12" borderId="33" xfId="0" applyFill="1" applyBorder="1"/>
    <xf numFmtId="0" fontId="0" fillId="23" borderId="27" xfId="0" applyFill="1" applyBorder="1"/>
    <xf numFmtId="0" fontId="0" fillId="23" borderId="26" xfId="0" applyFill="1" applyBorder="1"/>
    <xf numFmtId="0" fontId="0" fillId="23" borderId="32" xfId="0" applyFill="1" applyBorder="1"/>
    <xf numFmtId="0" fontId="0" fillId="23" borderId="0" xfId="0" applyFill="1" applyBorder="1"/>
    <xf numFmtId="0" fontId="0" fillId="23" borderId="25" xfId="0" applyFill="1" applyBorder="1"/>
    <xf numFmtId="0" fontId="0" fillId="12" borderId="32" xfId="0" applyFill="1" applyBorder="1"/>
    <xf numFmtId="0" fontId="0" fillId="12" borderId="83" xfId="0" applyFill="1" applyBorder="1"/>
    <xf numFmtId="0" fontId="0" fillId="12" borderId="84" xfId="0" applyFill="1" applyBorder="1"/>
    <xf numFmtId="0" fontId="49" fillId="12" borderId="0" xfId="0" applyFont="1" applyFill="1" applyBorder="1"/>
    <xf numFmtId="0" fontId="49" fillId="12" borderId="33" xfId="0" applyFont="1" applyFill="1" applyBorder="1"/>
    <xf numFmtId="0" fontId="0" fillId="12" borderId="70" xfId="0" applyFill="1" applyBorder="1" applyAlignment="1"/>
    <xf numFmtId="0" fontId="0" fillId="12" borderId="121" xfId="0" applyFill="1" applyBorder="1" applyAlignment="1"/>
    <xf numFmtId="0" fontId="0" fillId="12" borderId="122" xfId="0" applyFill="1" applyBorder="1" applyAlignment="1"/>
    <xf numFmtId="0" fontId="16" fillId="0" borderId="0" xfId="2" applyAlignment="1">
      <alignment horizontal="center" vertical="center"/>
    </xf>
    <xf numFmtId="0" fontId="16" fillId="0" borderId="0" xfId="2" applyAlignment="1">
      <alignment horizontal="center"/>
    </xf>
    <xf numFmtId="0" fontId="6" fillId="0" borderId="0" xfId="1" applyAlignment="1">
      <alignment horizontal="center" vertical="top"/>
    </xf>
    <xf numFmtId="0" fontId="55" fillId="0" borderId="0" xfId="7" applyFont="1"/>
    <xf numFmtId="49" fontId="56" fillId="4" borderId="0" xfId="0" applyNumberFormat="1" applyFont="1" applyFill="1" applyAlignment="1"/>
    <xf numFmtId="49" fontId="56" fillId="4" borderId="0" xfId="0" applyNumberFormat="1" applyFont="1" applyFill="1"/>
    <xf numFmtId="0" fontId="56" fillId="4" borderId="0" xfId="0" applyFont="1" applyFill="1"/>
    <xf numFmtId="0" fontId="13" fillId="4" borderId="0" xfId="0" applyFont="1" applyFill="1" applyAlignment="1"/>
    <xf numFmtId="0" fontId="58" fillId="4" borderId="0" xfId="0" applyFont="1" applyFill="1" applyAlignment="1"/>
    <xf numFmtId="49" fontId="59" fillId="4" borderId="0" xfId="0" applyNumberFormat="1" applyFont="1" applyFill="1" applyAlignment="1">
      <alignment vertical="center"/>
    </xf>
    <xf numFmtId="0" fontId="16" fillId="4" borderId="0" xfId="2" applyFont="1" applyFill="1"/>
    <xf numFmtId="49" fontId="62" fillId="4" borderId="0" xfId="0" applyNumberFormat="1" applyFont="1" applyFill="1" applyAlignment="1">
      <alignment horizontal="center" vertical="center"/>
    </xf>
    <xf numFmtId="0" fontId="65" fillId="4" borderId="0" xfId="0" applyFont="1" applyFill="1" applyAlignment="1">
      <alignment horizontal="right"/>
    </xf>
    <xf numFmtId="0" fontId="0" fillId="4" borderId="0" xfId="0" applyFill="1" applyBorder="1"/>
    <xf numFmtId="0" fontId="0" fillId="4" borderId="0" xfId="0" applyFill="1" applyAlignment="1">
      <alignment vertical="top"/>
    </xf>
    <xf numFmtId="0" fontId="7" fillId="4" borderId="0" xfId="1" applyFont="1" applyFill="1" applyAlignment="1">
      <alignment vertical="top"/>
    </xf>
    <xf numFmtId="0" fontId="0" fillId="0" borderId="0" xfId="0" applyAlignment="1">
      <alignment vertical="top"/>
    </xf>
    <xf numFmtId="0" fontId="16" fillId="4" borderId="0" xfId="2" applyFill="1" applyAlignment="1">
      <alignment horizontal="center"/>
    </xf>
    <xf numFmtId="0" fontId="0" fillId="17" borderId="0" xfId="0" applyFill="1"/>
    <xf numFmtId="0" fontId="0" fillId="21" borderId="0" xfId="0" applyFill="1"/>
    <xf numFmtId="0" fontId="11" fillId="21" borderId="0" xfId="0" applyFont="1" applyFill="1" applyAlignment="1">
      <alignment horizontal="center" vertical="center"/>
    </xf>
    <xf numFmtId="171" fontId="70" fillId="0" borderId="0" xfId="0" applyNumberFormat="1" applyFont="1" applyAlignment="1">
      <alignment horizontal="center" vertical="center"/>
    </xf>
    <xf numFmtId="171" fontId="11" fillId="21" borderId="0" xfId="0" applyNumberFormat="1" applyFont="1" applyFill="1" applyAlignment="1">
      <alignment horizontal="center" vertical="center"/>
    </xf>
    <xf numFmtId="172" fontId="11" fillId="21" borderId="0" xfId="0" applyNumberFormat="1" applyFont="1" applyFill="1" applyAlignment="1">
      <alignment horizontal="center" vertical="center"/>
    </xf>
    <xf numFmtId="0" fontId="71" fillId="26" borderId="0" xfId="8" applyFont="1" applyAlignment="1">
      <alignment horizontal="center" vertical="top"/>
    </xf>
    <xf numFmtId="0" fontId="16" fillId="17" borderId="0" xfId="2" applyFill="1"/>
    <xf numFmtId="0" fontId="16" fillId="17" borderId="0" xfId="2" applyFill="1" applyAlignment="1">
      <alignment horizontal="center"/>
    </xf>
    <xf numFmtId="0" fontId="16" fillId="17" borderId="0" xfId="2" applyFill="1" applyAlignment="1"/>
    <xf numFmtId="49" fontId="11" fillId="21" borderId="0" xfId="0" applyNumberFormat="1" applyFont="1" applyFill="1" applyAlignment="1">
      <alignment horizontal="center" vertical="center"/>
    </xf>
    <xf numFmtId="1" fontId="18" fillId="9" borderId="11" xfId="0" applyNumberFormat="1" applyFont="1" applyFill="1" applyBorder="1" applyAlignment="1">
      <alignment horizontal="center"/>
    </xf>
    <xf numFmtId="0" fontId="75" fillId="4" borderId="0" xfId="1" applyFont="1" applyFill="1"/>
    <xf numFmtId="0" fontId="6" fillId="17" borderId="0" xfId="1" applyFill="1" applyAlignment="1">
      <alignment vertical="top"/>
    </xf>
    <xf numFmtId="0" fontId="6" fillId="4" borderId="0" xfId="1" applyFill="1" applyAlignment="1">
      <alignment vertical="top"/>
    </xf>
    <xf numFmtId="0" fontId="6" fillId="0" borderId="0" xfId="1" applyAlignment="1">
      <alignment vertical="center"/>
    </xf>
    <xf numFmtId="0" fontId="77" fillId="4" borderId="0" xfId="0" applyFont="1" applyFill="1" applyAlignment="1">
      <alignment shrinkToFit="1"/>
    </xf>
    <xf numFmtId="0" fontId="78" fillId="5" borderId="0" xfId="0" applyFont="1" applyFill="1" applyAlignment="1">
      <alignment shrinkToFit="1"/>
    </xf>
    <xf numFmtId="0" fontId="19" fillId="9" borderId="131" xfId="0" applyFont="1" applyFill="1" applyBorder="1" applyAlignment="1">
      <alignment horizontal="center" vertical="top" wrapText="1"/>
    </xf>
    <xf numFmtId="170" fontId="79" fillId="27" borderId="132" xfId="0" applyNumberFormat="1" applyFont="1" applyFill="1" applyBorder="1" applyAlignment="1">
      <alignment horizontal="right" vertical="center"/>
    </xf>
    <xf numFmtId="169" fontId="18" fillId="9" borderId="11" xfId="6" applyNumberFormat="1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1" fontId="34" fillId="12" borderId="15" xfId="0" applyNumberFormat="1" applyFont="1" applyFill="1" applyBorder="1" applyAlignment="1">
      <alignment horizontal="center" vertical="center"/>
    </xf>
    <xf numFmtId="0" fontId="32" fillId="13" borderId="15" xfId="4" applyFont="1" applyFill="1" applyBorder="1" applyAlignment="1">
      <alignment horizontal="center" vertical="top"/>
    </xf>
    <xf numFmtId="0" fontId="80" fillId="12" borderId="15" xfId="4" applyFont="1" applyFill="1" applyBorder="1"/>
    <xf numFmtId="0" fontId="0" fillId="28" borderId="133" xfId="0" applyFill="1" applyBorder="1"/>
    <xf numFmtId="0" fontId="0" fillId="9" borderId="133" xfId="0" applyFill="1" applyBorder="1"/>
    <xf numFmtId="167" fontId="0" fillId="9" borderId="133" xfId="0" applyNumberFormat="1" applyFill="1" applyBorder="1"/>
    <xf numFmtId="0" fontId="81" fillId="29" borderId="133" xfId="0" applyFont="1" applyFill="1" applyBorder="1" applyAlignment="1">
      <alignment horizontal="center" vertical="center"/>
    </xf>
    <xf numFmtId="167" fontId="18" fillId="9" borderId="133" xfId="0" applyNumberFormat="1" applyFont="1" applyFill="1" applyBorder="1"/>
    <xf numFmtId="167" fontId="0" fillId="3" borderId="0" xfId="0" applyNumberFormat="1" applyFill="1"/>
    <xf numFmtId="0" fontId="16" fillId="3" borderId="0" xfId="2" applyFill="1" applyAlignment="1">
      <alignment horizontal="center"/>
    </xf>
    <xf numFmtId="0" fontId="16" fillId="3" borderId="0" xfId="2" applyFill="1"/>
    <xf numFmtId="0" fontId="18" fillId="3" borderId="0" xfId="0" applyFont="1" applyFill="1" applyAlignment="1">
      <alignment vertical="center"/>
    </xf>
    <xf numFmtId="0" fontId="6" fillId="3" borderId="0" xfId="1" applyFill="1" applyAlignment="1">
      <alignment horizontal="right" vertical="top"/>
    </xf>
    <xf numFmtId="165" fontId="29" fillId="30" borderId="14" xfId="0" applyNumberFormat="1" applyFont="1" applyFill="1" applyBorder="1" applyAlignment="1">
      <alignment horizontal="center"/>
    </xf>
    <xf numFmtId="0" fontId="6" fillId="0" borderId="0" xfId="1"/>
    <xf numFmtId="0" fontId="16" fillId="0" borderId="0" xfId="2" applyAlignment="1"/>
    <xf numFmtId="0" fontId="0" fillId="5" borderId="0" xfId="0" applyFill="1" applyAlignment="1">
      <alignment horizontal="left"/>
    </xf>
    <xf numFmtId="49" fontId="31" fillId="5" borderId="0" xfId="0" applyNumberFormat="1" applyFont="1" applyFill="1" applyAlignment="1"/>
    <xf numFmtId="14" fontId="0" fillId="3" borderId="141" xfId="0" applyNumberFormat="1" applyFill="1" applyBorder="1" applyAlignment="1">
      <alignment horizontal="center" vertical="center"/>
    </xf>
    <xf numFmtId="0" fontId="0" fillId="3" borderId="141" xfId="0" applyFill="1" applyBorder="1" applyAlignment="1">
      <alignment horizontal="center" vertical="center"/>
    </xf>
    <xf numFmtId="1" fontId="0" fillId="3" borderId="141" xfId="0" applyNumberFormat="1" applyFill="1" applyBorder="1" applyAlignment="1">
      <alignment horizontal="center" vertical="center"/>
    </xf>
    <xf numFmtId="0" fontId="84" fillId="31" borderId="141" xfId="0" applyFont="1" applyFill="1" applyBorder="1" applyAlignment="1">
      <alignment horizontal="center" vertical="center"/>
    </xf>
    <xf numFmtId="0" fontId="85" fillId="19" borderId="141" xfId="0" applyFont="1" applyFill="1" applyBorder="1" applyAlignment="1">
      <alignment horizontal="center" vertical="center"/>
    </xf>
    <xf numFmtId="0" fontId="0" fillId="9" borderId="133" xfId="0" applyFill="1" applyBorder="1" applyAlignment="1">
      <alignment horizontal="center"/>
    </xf>
    <xf numFmtId="173" fontId="0" fillId="9" borderId="13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9" fillId="5" borderId="134" xfId="0" applyFont="1" applyFill="1" applyBorder="1" applyAlignment="1">
      <alignment horizontal="center" vertical="center"/>
    </xf>
    <xf numFmtId="167" fontId="29" fillId="5" borderId="134" xfId="0" applyNumberFormat="1" applyFont="1" applyFill="1" applyBorder="1" applyAlignment="1">
      <alignment horizontal="center" vertical="center"/>
    </xf>
    <xf numFmtId="0" fontId="86" fillId="32" borderId="134" xfId="0" applyFont="1" applyFill="1" applyBorder="1" applyAlignment="1">
      <alignment vertical="center"/>
    </xf>
    <xf numFmtId="0" fontId="16" fillId="3" borderId="0" xfId="2" applyFill="1" applyAlignment="1">
      <alignment horizontal="right"/>
    </xf>
    <xf numFmtId="0" fontId="71" fillId="26" borderId="0" xfId="8" applyFont="1" applyAlignment="1">
      <alignment horizontal="center" vertical="top" wrapText="1"/>
    </xf>
    <xf numFmtId="0" fontId="16" fillId="17" borderId="0" xfId="2" applyFill="1" applyAlignment="1">
      <alignment horizontal="right"/>
    </xf>
    <xf numFmtId="169" fontId="18" fillId="9" borderId="11" xfId="0" applyNumberFormat="1" applyFont="1" applyFill="1" applyBorder="1" applyAlignment="1">
      <alignment horizontal="center"/>
    </xf>
    <xf numFmtId="170" fontId="0" fillId="0" borderId="0" xfId="0" applyNumberFormat="1"/>
    <xf numFmtId="164" fontId="29" fillId="30" borderId="14" xfId="0" applyNumberFormat="1" applyFont="1" applyFill="1" applyBorder="1" applyAlignment="1">
      <alignment horizontal="center"/>
    </xf>
    <xf numFmtId="164" fontId="29" fillId="30" borderId="13" xfId="0" applyNumberFormat="1" applyFont="1" applyFill="1" applyBorder="1" applyAlignment="1">
      <alignment horizontal="center"/>
    </xf>
    <xf numFmtId="164" fontId="87" fillId="21" borderId="14" xfId="0" applyNumberFormat="1" applyFont="1" applyFill="1" applyBorder="1" applyAlignment="1">
      <alignment horizontal="center"/>
    </xf>
    <xf numFmtId="0" fontId="28" fillId="18" borderId="11" xfId="0" applyFont="1" applyFill="1" applyBorder="1" applyAlignment="1">
      <alignment horizontal="center" vertical="center"/>
    </xf>
    <xf numFmtId="0" fontId="28" fillId="18" borderId="11" xfId="0" applyFont="1" applyFill="1" applyBorder="1" applyAlignment="1">
      <alignment horizontal="center" vertical="center" wrapText="1"/>
    </xf>
    <xf numFmtId="0" fontId="19" fillId="9" borderId="11" xfId="0" applyFont="1" applyFill="1" applyBorder="1"/>
    <xf numFmtId="167" fontId="19" fillId="9" borderId="11" xfId="0" applyNumberFormat="1" applyFont="1" applyFill="1" applyBorder="1"/>
    <xf numFmtId="168" fontId="19" fillId="9" borderId="11" xfId="0" applyNumberFormat="1" applyFont="1" applyFill="1" applyBorder="1"/>
    <xf numFmtId="0" fontId="90" fillId="9" borderId="11" xfId="0" applyFont="1" applyFill="1" applyBorder="1"/>
    <xf numFmtId="0" fontId="21" fillId="33" borderId="145" xfId="0" applyFont="1" applyFill="1" applyBorder="1"/>
    <xf numFmtId="167" fontId="21" fillId="33" borderId="145" xfId="0" applyNumberFormat="1" applyFont="1" applyFill="1" applyBorder="1"/>
    <xf numFmtId="168" fontId="21" fillId="33" borderId="145" xfId="0" applyNumberFormat="1" applyFont="1" applyFill="1" applyBorder="1"/>
    <xf numFmtId="0" fontId="6" fillId="3" borderId="0" xfId="1" applyFill="1"/>
    <xf numFmtId="0" fontId="0" fillId="9" borderId="0" xfId="0" applyFill="1"/>
    <xf numFmtId="0" fontId="16" fillId="9" borderId="0" xfId="2" applyFill="1" applyAlignment="1">
      <alignment horizontal="center"/>
    </xf>
    <xf numFmtId="0" fontId="0" fillId="0" borderId="146" xfId="0" applyBorder="1"/>
    <xf numFmtId="0" fontId="18" fillId="0" borderId="146" xfId="0" applyFont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49" fontId="18" fillId="0" borderId="146" xfId="0" applyNumberFormat="1" applyFont="1" applyBorder="1" applyAlignment="1">
      <alignment horizontal="center"/>
    </xf>
    <xf numFmtId="49" fontId="0" fillId="0" borderId="146" xfId="0" applyNumberFormat="1" applyBorder="1"/>
    <xf numFmtId="15" fontId="0" fillId="0" borderId="146" xfId="0" applyNumberFormat="1" applyBorder="1"/>
    <xf numFmtId="20" fontId="0" fillId="0" borderId="146" xfId="0" applyNumberFormat="1" applyBorder="1"/>
    <xf numFmtId="0" fontId="16" fillId="9" borderId="0" xfId="2" applyFill="1" applyAlignment="1">
      <alignment horizontal="left"/>
    </xf>
    <xf numFmtId="0" fontId="0" fillId="0" borderId="0" xfId="0" applyAlignment="1">
      <alignment horizontal="center"/>
    </xf>
    <xf numFmtId="17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47" xfId="0" applyFill="1" applyBorder="1" applyAlignment="1"/>
    <xf numFmtId="0" fontId="0" fillId="29" borderId="0" xfId="0" applyFill="1" applyAlignment="1">
      <alignment horizontal="center"/>
    </xf>
    <xf numFmtId="0" fontId="91" fillId="0" borderId="26" xfId="0" applyFont="1" applyFill="1" applyBorder="1" applyAlignment="1">
      <alignment horizontal="center"/>
    </xf>
    <xf numFmtId="0" fontId="94" fillId="10" borderId="0" xfId="0" applyFont="1" applyFill="1"/>
    <xf numFmtId="49" fontId="95" fillId="10" borderId="0" xfId="0" applyNumberFormat="1" applyFont="1" applyFill="1"/>
    <xf numFmtId="49" fontId="96" fillId="10" borderId="0" xfId="0" applyNumberFormat="1" applyFont="1" applyFill="1"/>
    <xf numFmtId="3" fontId="0" fillId="0" borderId="146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5" borderId="0" xfId="2" applyFill="1" applyAlignment="1">
      <alignment horizontal="right"/>
    </xf>
    <xf numFmtId="0" fontId="0" fillId="0" borderId="0" xfId="0" applyAlignment="1">
      <alignment horizontal="left" indent="1"/>
    </xf>
    <xf numFmtId="15" fontId="0" fillId="0" borderId="0" xfId="0" applyNumberFormat="1" applyAlignment="1">
      <alignment horizontal="left" indent="2"/>
    </xf>
    <xf numFmtId="22" fontId="97" fillId="4" borderId="0" xfId="0" applyNumberFormat="1" applyFont="1" applyFill="1"/>
    <xf numFmtId="0" fontId="98" fillId="4" borderId="0" xfId="0" applyFont="1" applyFill="1"/>
    <xf numFmtId="0" fontId="99" fillId="4" borderId="0" xfId="1" applyFont="1" applyFill="1"/>
    <xf numFmtId="0" fontId="100" fillId="4" borderId="0" xfId="0" applyFont="1" applyFill="1"/>
    <xf numFmtId="0" fontId="101" fillId="4" borderId="0" xfId="0" applyFont="1" applyFill="1"/>
    <xf numFmtId="0" fontId="99" fillId="4" borderId="0" xfId="0" applyFont="1" applyFill="1"/>
    <xf numFmtId="0" fontId="83" fillId="3" borderId="0" xfId="0" applyFont="1" applyFill="1" applyAlignment="1">
      <alignment horizontal="right"/>
    </xf>
    <xf numFmtId="0" fontId="67" fillId="4" borderId="0" xfId="0" applyFont="1" applyFill="1" applyBorder="1" applyAlignment="1">
      <alignment horizontal="center" vertical="top" textRotation="255"/>
    </xf>
    <xf numFmtId="0" fontId="64" fillId="9" borderId="125" xfId="0" applyFont="1" applyFill="1" applyBorder="1" applyAlignment="1">
      <alignment horizontal="center" vertical="center"/>
    </xf>
    <xf numFmtId="0" fontId="63" fillId="9" borderId="125" xfId="0" applyFont="1" applyFill="1" applyBorder="1" applyAlignment="1">
      <alignment horizontal="center" vertical="center" wrapText="1"/>
    </xf>
    <xf numFmtId="0" fontId="0" fillId="9" borderId="125" xfId="0" applyFill="1" applyBorder="1" applyAlignment="1">
      <alignment horizontal="center"/>
    </xf>
    <xf numFmtId="0" fontId="26" fillId="9" borderId="7" xfId="5" applyFont="1" applyFill="1" applyBorder="1" applyAlignment="1">
      <alignment horizontal="center" vertical="center" textRotation="255"/>
    </xf>
    <xf numFmtId="0" fontId="26" fillId="9" borderId="10" xfId="5" applyFont="1" applyFill="1" applyBorder="1" applyAlignment="1">
      <alignment horizontal="center" vertical="center" textRotation="255"/>
    </xf>
    <xf numFmtId="0" fontId="26" fillId="9" borderId="4" xfId="5" applyFont="1" applyFill="1" applyBorder="1" applyAlignment="1">
      <alignment horizontal="center" vertical="center" textRotation="255"/>
    </xf>
    <xf numFmtId="49" fontId="93" fillId="10" borderId="0" xfId="0" applyNumberFormat="1" applyFont="1" applyFill="1" applyAlignment="1">
      <alignment horizontal="center" wrapText="1"/>
    </xf>
    <xf numFmtId="0" fontId="92" fillId="29" borderId="148" xfId="0" applyFont="1" applyFill="1" applyBorder="1" applyAlignment="1">
      <alignment horizontal="center"/>
    </xf>
    <xf numFmtId="0" fontId="92" fillId="29" borderId="149" xfId="0" applyFont="1" applyFill="1" applyBorder="1" applyAlignment="1">
      <alignment horizontal="center"/>
    </xf>
    <xf numFmtId="0" fontId="92" fillId="29" borderId="150" xfId="0" applyFont="1" applyFill="1" applyBorder="1" applyAlignment="1">
      <alignment horizontal="center"/>
    </xf>
    <xf numFmtId="49" fontId="29" fillId="5" borderId="135" xfId="0" applyNumberFormat="1" applyFont="1" applyFill="1" applyBorder="1" applyAlignment="1">
      <alignment horizontal="center"/>
    </xf>
    <xf numFmtId="49" fontId="29" fillId="5" borderId="136" xfId="0" applyNumberFormat="1" applyFont="1" applyFill="1" applyBorder="1" applyAlignment="1">
      <alignment horizontal="center"/>
    </xf>
    <xf numFmtId="49" fontId="29" fillId="5" borderId="137" xfId="0" applyNumberFormat="1" applyFont="1" applyFill="1" applyBorder="1" applyAlignment="1">
      <alignment horizontal="center"/>
    </xf>
    <xf numFmtId="49" fontId="88" fillId="21" borderId="138" xfId="0" applyNumberFormat="1" applyFont="1" applyFill="1" applyBorder="1" applyAlignment="1">
      <alignment horizontal="center"/>
    </xf>
    <xf numFmtId="49" fontId="88" fillId="21" borderId="139" xfId="0" applyNumberFormat="1" applyFont="1" applyFill="1" applyBorder="1" applyAlignment="1">
      <alignment horizontal="center"/>
    </xf>
    <xf numFmtId="49" fontId="88" fillId="21" borderId="140" xfId="0" applyNumberFormat="1" applyFont="1" applyFill="1" applyBorder="1" applyAlignment="1">
      <alignment horizontal="center"/>
    </xf>
    <xf numFmtId="49" fontId="29" fillId="30" borderId="138" xfId="0" applyNumberFormat="1" applyFont="1" applyFill="1" applyBorder="1" applyAlignment="1">
      <alignment horizontal="center"/>
    </xf>
    <xf numFmtId="49" fontId="29" fillId="30" borderId="139" xfId="0" applyNumberFormat="1" applyFont="1" applyFill="1" applyBorder="1" applyAlignment="1">
      <alignment horizontal="center"/>
    </xf>
    <xf numFmtId="49" fontId="29" fillId="30" borderId="140" xfId="0" applyNumberFormat="1" applyFont="1" applyFill="1" applyBorder="1" applyAlignment="1">
      <alignment horizontal="center"/>
    </xf>
    <xf numFmtId="49" fontId="29" fillId="30" borderId="135" xfId="0" applyNumberFormat="1" applyFont="1" applyFill="1" applyBorder="1" applyAlignment="1">
      <alignment horizontal="center"/>
    </xf>
    <xf numFmtId="49" fontId="29" fillId="30" borderId="136" xfId="0" applyNumberFormat="1" applyFont="1" applyFill="1" applyBorder="1" applyAlignment="1">
      <alignment horizontal="center"/>
    </xf>
    <xf numFmtId="49" fontId="29" fillId="30" borderId="137" xfId="0" applyNumberFormat="1" applyFont="1" applyFill="1" applyBorder="1" applyAlignment="1">
      <alignment horizontal="center"/>
    </xf>
    <xf numFmtId="0" fontId="16" fillId="0" borderId="0" xfId="2" applyAlignment="1">
      <alignment horizontal="center"/>
    </xf>
    <xf numFmtId="49" fontId="29" fillId="5" borderId="142" xfId="0" applyNumberFormat="1" applyFont="1" applyFill="1" applyBorder="1" applyAlignment="1">
      <alignment horizontal="center"/>
    </xf>
    <xf numFmtId="49" fontId="29" fillId="5" borderId="143" xfId="0" applyNumberFormat="1" applyFont="1" applyFill="1" applyBorder="1" applyAlignment="1">
      <alignment horizontal="center"/>
    </xf>
    <xf numFmtId="49" fontId="29" fillId="5" borderId="144" xfId="0" applyNumberFormat="1" applyFont="1" applyFill="1" applyBorder="1" applyAlignment="1">
      <alignment horizontal="center"/>
    </xf>
    <xf numFmtId="0" fontId="44" fillId="18" borderId="119" xfId="0" applyFont="1" applyFill="1" applyBorder="1" applyAlignment="1">
      <alignment horizontal="center" vertical="center" wrapText="1"/>
    </xf>
    <xf numFmtId="0" fontId="44" fillId="18" borderId="120" xfId="0" applyFont="1" applyFill="1" applyBorder="1" applyAlignment="1">
      <alignment horizontal="center" vertical="center" wrapText="1"/>
    </xf>
    <xf numFmtId="0" fontId="41" fillId="24" borderId="85" xfId="0" applyFont="1" applyFill="1" applyBorder="1" applyAlignment="1">
      <alignment horizontal="center" vertical="center" wrapText="1"/>
    </xf>
    <xf numFmtId="0" fontId="41" fillId="24" borderId="91" xfId="0" applyFont="1" applyFill="1" applyBorder="1" applyAlignment="1">
      <alignment horizontal="center" vertical="center" wrapText="1"/>
    </xf>
    <xf numFmtId="0" fontId="41" fillId="24" borderId="87" xfId="0" applyFont="1" applyFill="1" applyBorder="1" applyAlignment="1">
      <alignment horizontal="center" vertical="center" wrapText="1"/>
    </xf>
    <xf numFmtId="0" fontId="41" fillId="24" borderId="31" xfId="0" applyFont="1" applyFill="1" applyBorder="1" applyAlignment="1">
      <alignment horizontal="center" vertical="center" wrapText="1"/>
    </xf>
    <xf numFmtId="0" fontId="41" fillId="24" borderId="89" xfId="0" applyFont="1" applyFill="1" applyBorder="1" applyAlignment="1">
      <alignment horizontal="center" vertical="center" wrapText="1"/>
    </xf>
    <xf numFmtId="0" fontId="41" fillId="24" borderId="34" xfId="0" applyFont="1" applyFill="1" applyBorder="1" applyAlignment="1">
      <alignment horizontal="center" vertical="center" wrapText="1"/>
    </xf>
    <xf numFmtId="0" fontId="35" fillId="5" borderId="35" xfId="0" applyFont="1" applyFill="1" applyBorder="1" applyAlignment="1">
      <alignment horizontal="center" vertical="center" textRotation="120"/>
    </xf>
    <xf numFmtId="0" fontId="35" fillId="5" borderId="36" xfId="0" applyFont="1" applyFill="1" applyBorder="1" applyAlignment="1">
      <alignment horizontal="center" vertical="center" textRotation="120"/>
    </xf>
    <xf numFmtId="0" fontId="35" fillId="5" borderId="37" xfId="0" applyFont="1" applyFill="1" applyBorder="1" applyAlignment="1">
      <alignment horizontal="center" vertical="center" textRotation="120"/>
    </xf>
    <xf numFmtId="0" fontId="35" fillId="5" borderId="38" xfId="0" applyFont="1" applyFill="1" applyBorder="1" applyAlignment="1">
      <alignment horizontal="center" vertical="center" textRotation="120"/>
    </xf>
    <xf numFmtId="0" fontId="35" fillId="5" borderId="67" xfId="0" applyFont="1" applyFill="1" applyBorder="1" applyAlignment="1">
      <alignment horizontal="center" vertical="center" textRotation="120"/>
    </xf>
    <xf numFmtId="0" fontId="35" fillId="5" borderId="68" xfId="0" applyFont="1" applyFill="1" applyBorder="1" applyAlignment="1">
      <alignment horizontal="center" vertical="center" textRotation="120"/>
    </xf>
    <xf numFmtId="0" fontId="35" fillId="5" borderId="65" xfId="0" applyFont="1" applyFill="1" applyBorder="1" applyAlignment="1">
      <alignment horizontal="center" vertical="center" textRotation="30"/>
    </xf>
    <xf numFmtId="0" fontId="35" fillId="5" borderId="66" xfId="0" applyFont="1" applyFill="1" applyBorder="1" applyAlignment="1">
      <alignment horizontal="center" vertical="center" textRotation="30"/>
    </xf>
    <xf numFmtId="0" fontId="35" fillId="5" borderId="37" xfId="0" applyFont="1" applyFill="1" applyBorder="1" applyAlignment="1">
      <alignment horizontal="center" vertical="center" textRotation="30"/>
    </xf>
    <xf numFmtId="0" fontId="35" fillId="5" borderId="38" xfId="0" applyFont="1" applyFill="1" applyBorder="1" applyAlignment="1">
      <alignment horizontal="center" vertical="center" textRotation="30"/>
    </xf>
    <xf numFmtId="0" fontId="35" fillId="5" borderId="39" xfId="0" applyFont="1" applyFill="1" applyBorder="1" applyAlignment="1">
      <alignment horizontal="center" vertical="center" textRotation="30"/>
    </xf>
    <xf numFmtId="0" fontId="35" fillId="5" borderId="40" xfId="0" applyFont="1" applyFill="1" applyBorder="1" applyAlignment="1">
      <alignment horizontal="center" vertical="center" textRotation="30"/>
    </xf>
    <xf numFmtId="0" fontId="38" fillId="16" borderId="56" xfId="0" applyFont="1" applyFill="1" applyBorder="1" applyAlignment="1">
      <alignment horizontal="center" vertical="center" textRotation="30" wrapText="1"/>
    </xf>
    <xf numFmtId="0" fontId="38" fillId="16" borderId="76" xfId="0" applyFont="1" applyFill="1" applyBorder="1" applyAlignment="1">
      <alignment horizontal="center" vertical="center" textRotation="30" wrapText="1"/>
    </xf>
    <xf numFmtId="0" fontId="38" fillId="16" borderId="30" xfId="0" applyFont="1" applyFill="1" applyBorder="1" applyAlignment="1">
      <alignment horizontal="center" vertical="center" textRotation="30" wrapText="1"/>
    </xf>
    <xf numFmtId="0" fontId="38" fillId="16" borderId="31" xfId="0" applyFont="1" applyFill="1" applyBorder="1" applyAlignment="1">
      <alignment horizontal="center" vertical="center" textRotation="30" wrapText="1"/>
    </xf>
    <xf numFmtId="0" fontId="38" fillId="16" borderId="57" xfId="0" applyFont="1" applyFill="1" applyBorder="1" applyAlignment="1">
      <alignment horizontal="center" vertical="center" textRotation="30" wrapText="1"/>
    </xf>
    <xf numFmtId="0" fontId="38" fillId="16" borderId="77" xfId="0" applyFont="1" applyFill="1" applyBorder="1" applyAlignment="1">
      <alignment horizontal="center" vertical="center" textRotation="30" wrapText="1"/>
    </xf>
    <xf numFmtId="0" fontId="39" fillId="5" borderId="116" xfId="0" applyFont="1" applyFill="1" applyBorder="1" applyAlignment="1">
      <alignment horizontal="center" vertical="center" textRotation="255"/>
    </xf>
    <xf numFmtId="0" fontId="39" fillId="5" borderId="117" xfId="0" applyFont="1" applyFill="1" applyBorder="1" applyAlignment="1">
      <alignment horizontal="center" vertical="center" textRotation="255"/>
    </xf>
    <xf numFmtId="0" fontId="39" fillId="5" borderId="118" xfId="0" applyFont="1" applyFill="1" applyBorder="1" applyAlignment="1">
      <alignment horizontal="center" vertical="center" textRotation="255"/>
    </xf>
    <xf numFmtId="0" fontId="48" fillId="22" borderId="81" xfId="0" applyFont="1" applyFill="1" applyBorder="1" applyAlignment="1">
      <alignment horizontal="center" vertical="center" textRotation="255"/>
    </xf>
    <xf numFmtId="0" fontId="48" fillId="22" borderId="58" xfId="0" applyFont="1" applyFill="1" applyBorder="1" applyAlignment="1">
      <alignment horizontal="center" vertical="center" textRotation="255"/>
    </xf>
    <xf numFmtId="0" fontId="48" fillId="22" borderId="82" xfId="0" applyFont="1" applyFill="1" applyBorder="1" applyAlignment="1">
      <alignment horizontal="center" vertical="center" textRotation="255"/>
    </xf>
    <xf numFmtId="0" fontId="40" fillId="20" borderId="69" xfId="0" applyFont="1" applyFill="1" applyBorder="1" applyAlignment="1">
      <alignment horizontal="center" vertical="center" textRotation="42"/>
    </xf>
    <xf numFmtId="0" fontId="40" fillId="20" borderId="78" xfId="0" applyFont="1" applyFill="1" applyBorder="1" applyAlignment="1">
      <alignment horizontal="center" vertical="center" textRotation="42"/>
    </xf>
    <xf numFmtId="0" fontId="40" fillId="20" borderId="70" xfId="0" applyFont="1" applyFill="1" applyBorder="1" applyAlignment="1">
      <alignment horizontal="center" vertical="center" textRotation="42"/>
    </xf>
    <xf numFmtId="0" fontId="40" fillId="20" borderId="79" xfId="0" applyFont="1" applyFill="1" applyBorder="1" applyAlignment="1">
      <alignment horizontal="center" vertical="center" textRotation="42"/>
    </xf>
    <xf numFmtId="0" fontId="40" fillId="20" borderId="71" xfId="0" applyFont="1" applyFill="1" applyBorder="1" applyAlignment="1">
      <alignment horizontal="center" vertical="center" textRotation="42"/>
    </xf>
    <xf numFmtId="0" fontId="40" fillId="20" borderId="80" xfId="0" applyFont="1" applyFill="1" applyBorder="1" applyAlignment="1">
      <alignment horizontal="center" vertical="center" textRotation="42"/>
    </xf>
    <xf numFmtId="0" fontId="50" fillId="12" borderId="0" xfId="0" applyFont="1" applyFill="1" applyBorder="1" applyAlignment="1">
      <alignment horizontal="center" vertical="center" textRotation="255"/>
    </xf>
    <xf numFmtId="0" fontId="45" fillId="17" borderId="28" xfId="0" applyFont="1" applyFill="1" applyBorder="1" applyAlignment="1">
      <alignment horizontal="center" vertical="center"/>
    </xf>
    <xf numFmtId="0" fontId="45" fillId="17" borderId="45" xfId="0" applyFont="1" applyFill="1" applyBorder="1" applyAlignment="1">
      <alignment horizontal="center" vertical="center"/>
    </xf>
    <xf numFmtId="0" fontId="45" fillId="17" borderId="0" xfId="0" applyFont="1" applyFill="1" applyBorder="1" applyAlignment="1">
      <alignment horizontal="center" vertical="center"/>
    </xf>
    <xf numFmtId="0" fontId="45" fillId="17" borderId="41" xfId="0" applyFont="1" applyFill="1" applyBorder="1" applyAlignment="1">
      <alignment horizontal="center" vertical="center"/>
    </xf>
    <xf numFmtId="0" fontId="45" fillId="17" borderId="60" xfId="0" applyFont="1" applyFill="1" applyBorder="1" applyAlignment="1">
      <alignment horizontal="center" vertical="center"/>
    </xf>
    <xf numFmtId="0" fontId="45" fillId="17" borderId="61" xfId="0" applyFont="1" applyFill="1" applyBorder="1" applyAlignment="1">
      <alignment horizontal="center" vertical="center"/>
    </xf>
    <xf numFmtId="0" fontId="45" fillId="17" borderId="44" xfId="0" applyFont="1" applyFill="1" applyBorder="1" applyAlignment="1">
      <alignment horizontal="center" vertical="center"/>
    </xf>
    <xf numFmtId="0" fontId="45" fillId="17" borderId="46" xfId="0" applyFont="1" applyFill="1" applyBorder="1" applyAlignment="1">
      <alignment horizontal="center" vertical="center"/>
    </xf>
    <xf numFmtId="0" fontId="45" fillId="17" borderId="59" xfId="0" applyFont="1" applyFill="1" applyBorder="1" applyAlignment="1">
      <alignment horizontal="center" vertical="center"/>
    </xf>
    <xf numFmtId="0" fontId="43" fillId="19" borderId="92" xfId="0" applyFont="1" applyFill="1" applyBorder="1" applyAlignment="1">
      <alignment horizontal="center" vertical="center"/>
    </xf>
    <xf numFmtId="0" fontId="43" fillId="19" borderId="93" xfId="0" applyFont="1" applyFill="1" applyBorder="1" applyAlignment="1">
      <alignment horizontal="center" vertical="center"/>
    </xf>
    <xf numFmtId="0" fontId="43" fillId="19" borderId="94" xfId="0" applyFont="1" applyFill="1" applyBorder="1" applyAlignment="1">
      <alignment horizontal="center" vertical="center"/>
    </xf>
    <xf numFmtId="0" fontId="43" fillId="19" borderId="95" xfId="0" applyFont="1" applyFill="1" applyBorder="1" applyAlignment="1">
      <alignment horizontal="center" vertical="center"/>
    </xf>
    <xf numFmtId="0" fontId="43" fillId="19" borderId="0" xfId="0" applyFont="1" applyFill="1" applyBorder="1" applyAlignment="1">
      <alignment horizontal="center" vertical="center"/>
    </xf>
    <xf numFmtId="0" fontId="43" fillId="19" borderId="96" xfId="0" applyFont="1" applyFill="1" applyBorder="1" applyAlignment="1">
      <alignment horizontal="center" vertical="center"/>
    </xf>
    <xf numFmtId="0" fontId="43" fillId="19" borderId="97" xfId="0" applyFont="1" applyFill="1" applyBorder="1" applyAlignment="1">
      <alignment horizontal="center" vertical="center"/>
    </xf>
    <xf numFmtId="0" fontId="43" fillId="19" borderId="98" xfId="0" applyFont="1" applyFill="1" applyBorder="1" applyAlignment="1">
      <alignment horizontal="center" vertical="center"/>
    </xf>
    <xf numFmtId="0" fontId="43" fillId="19" borderId="99" xfId="0" applyFont="1" applyFill="1" applyBorder="1" applyAlignment="1">
      <alignment horizontal="center" vertical="center"/>
    </xf>
    <xf numFmtId="0" fontId="43" fillId="19" borderId="100" xfId="0" applyFont="1" applyFill="1" applyBorder="1" applyAlignment="1">
      <alignment horizontal="center" vertical="center"/>
    </xf>
    <xf numFmtId="0" fontId="43" fillId="19" borderId="101" xfId="0" applyFont="1" applyFill="1" applyBorder="1" applyAlignment="1">
      <alignment horizontal="center" vertical="center"/>
    </xf>
    <xf numFmtId="0" fontId="43" fillId="19" borderId="102" xfId="0" applyFont="1" applyFill="1" applyBorder="1" applyAlignment="1">
      <alignment horizontal="center" vertical="center"/>
    </xf>
    <xf numFmtId="0" fontId="43" fillId="19" borderId="103" xfId="0" applyFont="1" applyFill="1" applyBorder="1" applyAlignment="1">
      <alignment horizontal="center" vertical="center"/>
    </xf>
    <xf numFmtId="0" fontId="43" fillId="19" borderId="104" xfId="0" applyFont="1" applyFill="1" applyBorder="1" applyAlignment="1">
      <alignment horizontal="center" vertical="center"/>
    </xf>
    <xf numFmtId="0" fontId="43" fillId="19" borderId="105" xfId="0" applyFont="1" applyFill="1" applyBorder="1" applyAlignment="1">
      <alignment horizontal="center" vertical="center"/>
    </xf>
    <xf numFmtId="0" fontId="43" fillId="19" borderId="106" xfId="0" applyFont="1" applyFill="1" applyBorder="1" applyAlignment="1">
      <alignment horizontal="center" vertical="center"/>
    </xf>
    <xf numFmtId="0" fontId="43" fillId="19" borderId="107" xfId="0" applyFont="1" applyFill="1" applyBorder="1" applyAlignment="1">
      <alignment horizontal="center" vertical="center"/>
    </xf>
    <xf numFmtId="0" fontId="43" fillId="19" borderId="108" xfId="0" applyFont="1" applyFill="1" applyBorder="1" applyAlignment="1">
      <alignment horizontal="center" vertical="center"/>
    </xf>
    <xf numFmtId="0" fontId="43" fillId="19" borderId="109" xfId="0" applyFont="1" applyFill="1" applyBorder="1" applyAlignment="1">
      <alignment horizontal="center" vertical="center"/>
    </xf>
    <xf numFmtId="0" fontId="43" fillId="19" borderId="110" xfId="0" applyFont="1" applyFill="1" applyBorder="1" applyAlignment="1">
      <alignment horizontal="center" vertical="center"/>
    </xf>
    <xf numFmtId="0" fontId="43" fillId="19" borderId="111" xfId="0" applyFont="1" applyFill="1" applyBorder="1" applyAlignment="1">
      <alignment horizontal="center" vertical="center"/>
    </xf>
    <xf numFmtId="0" fontId="43" fillId="19" borderId="112" xfId="0" applyFont="1" applyFill="1" applyBorder="1" applyAlignment="1">
      <alignment horizontal="center" vertical="center"/>
    </xf>
    <xf numFmtId="0" fontId="43" fillId="19" borderId="113" xfId="0" applyFont="1" applyFill="1" applyBorder="1" applyAlignment="1">
      <alignment horizontal="center" vertical="center"/>
    </xf>
    <xf numFmtId="0" fontId="43" fillId="19" borderId="114" xfId="0" applyFont="1" applyFill="1" applyBorder="1" applyAlignment="1">
      <alignment horizontal="center" vertical="center"/>
    </xf>
    <xf numFmtId="0" fontId="43" fillId="19" borderId="115" xfId="0" applyFont="1" applyFill="1" applyBorder="1" applyAlignment="1">
      <alignment horizontal="center" vertical="center"/>
    </xf>
    <xf numFmtId="0" fontId="68" fillId="25" borderId="126" xfId="0" applyFont="1" applyFill="1" applyBorder="1" applyAlignment="1">
      <alignment horizontal="center" vertical="center" textRotation="120"/>
    </xf>
    <xf numFmtId="0" fontId="68" fillId="25" borderId="127" xfId="0" applyFont="1" applyFill="1" applyBorder="1" applyAlignment="1">
      <alignment horizontal="center" vertical="center" textRotation="120"/>
    </xf>
    <xf numFmtId="0" fontId="68" fillId="25" borderId="128" xfId="0" applyFont="1" applyFill="1" applyBorder="1" applyAlignment="1">
      <alignment horizontal="center" vertical="center" textRotation="120"/>
    </xf>
    <xf numFmtId="0" fontId="68" fillId="25" borderId="129" xfId="0" applyFont="1" applyFill="1" applyBorder="1" applyAlignment="1">
      <alignment horizontal="center" vertical="center" textRotation="120"/>
    </xf>
    <xf numFmtId="0" fontId="68" fillId="25" borderId="0" xfId="0" applyFont="1" applyFill="1" applyBorder="1" applyAlignment="1">
      <alignment horizontal="center" vertical="center" textRotation="120"/>
    </xf>
    <xf numFmtId="0" fontId="68" fillId="25" borderId="31" xfId="0" applyFont="1" applyFill="1" applyBorder="1" applyAlignment="1">
      <alignment horizontal="center" vertical="center" textRotation="120"/>
    </xf>
    <xf numFmtId="0" fontId="68" fillId="25" borderId="130" xfId="0" applyFont="1" applyFill="1" applyBorder="1" applyAlignment="1">
      <alignment horizontal="center" vertical="center" textRotation="120"/>
    </xf>
    <xf numFmtId="0" fontId="68" fillId="25" borderId="33" xfId="0" applyFont="1" applyFill="1" applyBorder="1" applyAlignment="1">
      <alignment horizontal="center" vertical="center" textRotation="120"/>
    </xf>
    <xf numFmtId="0" fontId="68" fillId="25" borderId="34" xfId="0" applyFont="1" applyFill="1" applyBorder="1" applyAlignment="1">
      <alignment horizontal="center" vertical="center" textRotation="120"/>
    </xf>
    <xf numFmtId="0" fontId="44" fillId="18" borderId="123" xfId="0" applyFont="1" applyFill="1" applyBorder="1" applyAlignment="1">
      <alignment horizontal="center" vertical="center" wrapText="1"/>
    </xf>
    <xf numFmtId="0" fontId="44" fillId="18" borderId="124" xfId="0" applyFont="1" applyFill="1" applyBorder="1" applyAlignment="1">
      <alignment horizontal="center" vertical="center" wrapText="1"/>
    </xf>
    <xf numFmtId="0" fontId="47" fillId="21" borderId="72" xfId="0" applyFont="1" applyFill="1" applyBorder="1" applyAlignment="1">
      <alignment horizontal="center" vertical="center"/>
    </xf>
    <xf numFmtId="0" fontId="47" fillId="21" borderId="73" xfId="0" applyFont="1" applyFill="1" applyBorder="1" applyAlignment="1">
      <alignment horizontal="center" vertical="center"/>
    </xf>
    <xf numFmtId="0" fontId="47" fillId="21" borderId="54" xfId="0" applyFont="1" applyFill="1" applyBorder="1" applyAlignment="1">
      <alignment horizontal="center" vertical="center"/>
    </xf>
    <xf numFmtId="0" fontId="47" fillId="21" borderId="55" xfId="0" applyFont="1" applyFill="1" applyBorder="1" applyAlignment="1">
      <alignment horizontal="center" vertical="center"/>
    </xf>
    <xf numFmtId="0" fontId="47" fillId="21" borderId="74" xfId="0" applyFont="1" applyFill="1" applyBorder="1" applyAlignment="1">
      <alignment horizontal="center" vertical="center"/>
    </xf>
    <xf numFmtId="0" fontId="47" fillId="21" borderId="75" xfId="0" applyFont="1" applyFill="1" applyBorder="1" applyAlignment="1">
      <alignment horizontal="center" vertical="center"/>
    </xf>
    <xf numFmtId="0" fontId="46" fillId="17" borderId="48" xfId="0" applyFont="1" applyFill="1" applyBorder="1" applyAlignment="1">
      <alignment horizontal="center" vertical="center"/>
    </xf>
    <xf numFmtId="0" fontId="46" fillId="17" borderId="49" xfId="0" applyFont="1" applyFill="1" applyBorder="1" applyAlignment="1">
      <alignment horizontal="center" vertical="center"/>
    </xf>
    <xf numFmtId="0" fontId="46" fillId="17" borderId="50" xfId="0" applyFont="1" applyFill="1" applyBorder="1" applyAlignment="1">
      <alignment horizontal="center" vertical="center"/>
    </xf>
    <xf numFmtId="0" fontId="46" fillId="17" borderId="51" xfId="0" applyFont="1" applyFill="1" applyBorder="1" applyAlignment="1">
      <alignment horizontal="center" vertical="center"/>
    </xf>
    <xf numFmtId="0" fontId="46" fillId="17" borderId="52" xfId="0" applyFont="1" applyFill="1" applyBorder="1" applyAlignment="1">
      <alignment horizontal="center" vertical="center"/>
    </xf>
    <xf numFmtId="0" fontId="46" fillId="17" borderId="53" xfId="0" applyFont="1" applyFill="1" applyBorder="1" applyAlignment="1">
      <alignment horizontal="center" vertical="center"/>
    </xf>
    <xf numFmtId="0" fontId="45" fillId="17" borderId="62" xfId="0" applyFont="1" applyFill="1" applyBorder="1" applyAlignment="1">
      <alignment horizontal="center" vertical="center"/>
    </xf>
    <xf numFmtId="0" fontId="45" fillId="17" borderId="63" xfId="0" applyFont="1" applyFill="1" applyBorder="1" applyAlignment="1">
      <alignment horizontal="center" vertical="center"/>
    </xf>
    <xf numFmtId="0" fontId="45" fillId="17" borderId="64" xfId="0" applyFont="1" applyFill="1" applyBorder="1" applyAlignment="1">
      <alignment horizontal="center" vertical="center"/>
    </xf>
    <xf numFmtId="0" fontId="45" fillId="17" borderId="47" xfId="0" applyFont="1" applyFill="1" applyBorder="1" applyAlignment="1">
      <alignment horizontal="center" vertical="center"/>
    </xf>
    <xf numFmtId="0" fontId="45" fillId="17" borderId="42" xfId="0" applyFont="1" applyFill="1" applyBorder="1" applyAlignment="1">
      <alignment horizontal="center" vertical="center"/>
    </xf>
    <xf numFmtId="0" fontId="45" fillId="17" borderId="43" xfId="0" applyFont="1" applyFill="1" applyBorder="1" applyAlignment="1">
      <alignment horizontal="center" vertical="center"/>
    </xf>
    <xf numFmtId="0" fontId="51" fillId="12" borderId="0" xfId="0" applyFont="1" applyFill="1" applyBorder="1" applyAlignment="1">
      <alignment horizontal="center" vertical="center" textRotation="35"/>
    </xf>
    <xf numFmtId="0" fontId="41" fillId="24" borderId="86" xfId="0" applyFont="1" applyFill="1" applyBorder="1" applyAlignment="1">
      <alignment horizontal="center" vertical="center" wrapText="1"/>
    </xf>
    <xf numFmtId="0" fontId="41" fillId="24" borderId="88" xfId="0" applyFont="1" applyFill="1" applyBorder="1" applyAlignment="1">
      <alignment horizontal="center" vertical="center" wrapText="1"/>
    </xf>
    <xf numFmtId="0" fontId="41" fillId="24" borderId="90" xfId="0" applyFont="1" applyFill="1" applyBorder="1" applyAlignment="1">
      <alignment horizontal="center" vertical="center" wrapText="1"/>
    </xf>
    <xf numFmtId="0" fontId="86" fillId="32" borderId="134" xfId="0" applyFont="1" applyFill="1" applyBorder="1" applyAlignment="1">
      <alignment horizontal="center" vertical="center" wrapText="1"/>
    </xf>
    <xf numFmtId="0" fontId="86" fillId="32" borderId="134" xfId="0" applyFont="1" applyFill="1" applyBorder="1" applyAlignment="1">
      <alignment horizontal="center" vertical="center"/>
    </xf>
  </cellXfs>
  <cellStyles count="9">
    <cellStyle name="20% - Accent1" xfId="4" builtinId="30"/>
    <cellStyle name="40% - Accent1" xfId="5" builtinId="31"/>
    <cellStyle name="40% - Accent6" xfId="8" builtinId="51"/>
    <cellStyle name="Accent1" xfId="3" builtinId="29"/>
    <cellStyle name="Hyperlink" xfId="1" builtinId="8"/>
    <cellStyle name="Normal" xfId="0" builtinId="0"/>
    <cellStyle name="Procent" xfId="6" builtinId="5"/>
    <cellStyle name="Text avertisment" xfId="7" builtinId="11"/>
    <cellStyle name="Titlu" xfId="2" builtinId="15"/>
  </cellStyles>
  <dxfs count="41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Arial"/>
        <scheme val="none"/>
      </font>
      <numFmt numFmtId="172" formatCode="#,##0.0000\ [$RON];\-#,##0.0000\ [$RON]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numFmt numFmtId="171" formatCode="#,##0.0000\ [$RON]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numFmt numFmtId="171" formatCode="#,##0.0000\ [$RON]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alignment horizontal="right" vertical="bottom" textRotation="0" wrapText="0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  <numFmt numFmtId="166" formatCode="[$-F400]h:mm:ss\ AM/PM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68" formatCode="[$-418]d\ mmmm\ yyyy;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entury"/>
        <scheme val="none"/>
      </font>
      <fill>
        <patternFill patternType="solid">
          <fgColor indexed="64"/>
          <bgColor rgb="FFF30DD2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33CC"/>
      <color rgb="FF00FF99"/>
      <color rgb="FFF2DAE9"/>
      <color rgb="FF75458B"/>
      <color rgb="FF6A557B"/>
      <color rgb="FFEEDEDE"/>
      <color rgb="FFF9EBD3"/>
      <color rgb="FFF5F3D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Raport barbati-femei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Structura!$K$27:$K$28</c:f>
              <c:strCache>
                <c:ptCount val="2"/>
                <c:pt idx="0">
                  <c:v>Numarul total de femei angajate:</c:v>
                </c:pt>
                <c:pt idx="1">
                  <c:v>Numarul total de barbati angajate:</c:v>
                </c:pt>
              </c:strCache>
            </c:strRef>
          </c:cat>
          <c:val>
            <c:numRef>
              <c:f>Structura!$L$27:$L$28</c:f>
              <c:numCache>
                <c:formatCode>General</c:formatCode>
                <c:ptCount val="2"/>
                <c:pt idx="0">
                  <c:v>5</c:v>
                </c:pt>
                <c:pt idx="1">
                  <c:v>12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</a:t>
            </a:r>
            <a:r>
              <a:rPr lang="en-US" baseline="0"/>
              <a:t> per zile</a:t>
            </a:r>
          </a:p>
        </c:rich>
      </c:tx>
      <c:layout>
        <c:manualLayout>
          <c:xMode val="edge"/>
          <c:yMode val="edge"/>
          <c:x val="0.4338471128608923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clienti</c:v>
          </c:tx>
          <c:spPr>
            <a:solidFill>
              <a:schemeClr val="accent1"/>
            </a:solidFill>
            <a:ln w="19050">
              <a:solidFill>
                <a:srgbClr val="FF99FF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rgbClr val="FF99FF"/>
                </a:solidFill>
              </a:ln>
              <a:effectLst/>
            </c:spPr>
          </c:dPt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clienti'!$E$10:$I$10</c:f>
              <c:numCache>
                <c:formatCode>General</c:formatCode>
                <c:ptCount val="5"/>
                <c:pt idx="0">
                  <c:v>25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02691312"/>
        <c:axId val="-1502698384"/>
      </c:barChart>
      <c:lineChart>
        <c:grouping val="standard"/>
        <c:varyColors val="0"/>
        <c:ser>
          <c:idx val="1"/>
          <c:order val="1"/>
          <c:tx>
            <c:strRef>
              <c:f>'Ore clienti'!$D$11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clienti'!$E$11:$I$11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691312"/>
        <c:axId val="-1502698384"/>
      </c:lineChart>
      <c:catAx>
        <c:axId val="-15026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8384"/>
        <c:crosses val="autoZero"/>
        <c:auto val="1"/>
        <c:lblAlgn val="ctr"/>
        <c:lblOffset val="100"/>
        <c:noMultiLvlLbl val="0"/>
      </c:catAx>
      <c:valAx>
        <c:axId val="-15026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13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Numarul</a:t>
            </a:r>
            <a:r>
              <a:rPr lang="en-US" baseline="0"/>
              <a:t> de clienti in anumite intervale orale</a:t>
            </a:r>
            <a:endParaRPr lang="en-US"/>
          </a:p>
        </c:rich>
      </c:tx>
      <c:layout>
        <c:manualLayout>
          <c:xMode val="edge"/>
          <c:yMode val="edge"/>
          <c:x val="6.383328083989500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'Ore clienti'!$D$6</c:f>
              <c:strCache>
                <c:ptCount val="1"/>
                <c:pt idx="0">
                  <c:v>8:00-11:00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clienti'!$E$6:$I$6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'Ore clienti'!$D$7</c:f>
              <c:strCache>
                <c:ptCount val="1"/>
                <c:pt idx="0">
                  <c:v>11:00-13:00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clienti'!$E$7:$I$7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</c:ser>
        <c:ser>
          <c:idx val="2"/>
          <c:order val="2"/>
          <c:tx>
            <c:strRef>
              <c:f>'Ore clienti'!$D$8</c:f>
              <c:strCache>
                <c:ptCount val="1"/>
                <c:pt idx="0">
                  <c:v>14:00-16:00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 w="12700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clienti'!$E$8:$I$8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</c:ser>
        <c:ser>
          <c:idx val="3"/>
          <c:order val="3"/>
          <c:tx>
            <c:strRef>
              <c:f>'Ore clienti'!$D$9</c:f>
              <c:strCache>
                <c:ptCount val="1"/>
                <c:pt idx="0">
                  <c:v>16:00-18:00</c:v>
                </c:pt>
              </c:strCache>
            </c:strRef>
          </c:tx>
          <c:spPr>
            <a:solidFill>
              <a:srgbClr val="92D050"/>
            </a:solidFill>
            <a:ln w="12700">
              <a:solidFill>
                <a:srgbClr val="F30DD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'Ore clienti'!$E$5:$I$5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'Ore clienti'!$E$9:$I$9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502691856"/>
        <c:axId val="-1502695664"/>
      </c:barChart>
      <c:catAx>
        <c:axId val="-150269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5664"/>
        <c:crosses val="autoZero"/>
        <c:auto val="1"/>
        <c:lblAlgn val="ctr"/>
        <c:lblOffset val="100"/>
        <c:noMultiLvlLbl val="0"/>
      </c:catAx>
      <c:valAx>
        <c:axId val="-15026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05118110236219"/>
          <c:y val="0.38099409448818899"/>
          <c:w val="0.15984419947506562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>
        <c:manualLayout>
          <c:xMode val="edge"/>
          <c:yMode val="edge"/>
          <c:x val="0.41777034852248857"/>
          <c:y val="0.04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FFFF00"/>
            </a:solidFill>
          </c:spPr>
          <c:invertIfNegative val="0"/>
          <c:cat>
            <c:strRef>
              <c:f>Credite!$I$34:$I$39</c:f>
              <c:strCach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More</c:v>
                </c:pt>
              </c:strCache>
            </c:strRef>
          </c:cat>
          <c:val>
            <c:numRef>
              <c:f>Credite!$J$34:$J$39</c:f>
              <c:numCache>
                <c:formatCode>General</c:formatCode>
                <c:ptCount val="6"/>
                <c:pt idx="0">
                  <c:v>13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02694032"/>
        <c:axId val="-1300302432"/>
      </c:barChart>
      <c:catAx>
        <c:axId val="-150269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300302432"/>
        <c:crosses val="autoZero"/>
        <c:auto val="1"/>
        <c:lblAlgn val="ctr"/>
        <c:lblOffset val="100"/>
        <c:noMultiLvlLbl val="0"/>
      </c:catAx>
      <c:valAx>
        <c:axId val="-130030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0269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'Bilant Salarii'!$D$23</c:f>
              <c:strCache>
                <c:ptCount val="1"/>
                <c:pt idx="0">
                  <c:v>Corpa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'Bilant Salarii'!$A$24:$C$25</c:f>
              <c:strCache>
                <c:ptCount val="2"/>
                <c:pt idx="0">
                  <c:v>Salariu agent</c:v>
                </c:pt>
                <c:pt idx="1">
                  <c:v>Salariu mediu</c:v>
                </c:pt>
              </c:strCache>
            </c:strRef>
          </c:cat>
          <c:val>
            <c:numRef>
              <c:f>'Bilant Salarii'!$D$24:$D$25</c:f>
              <c:numCache>
                <c:formatCode>#,##0\ [$RON]</c:formatCode>
                <c:ptCount val="2"/>
                <c:pt idx="0">
                  <c:v>4381</c:v>
                </c:pt>
                <c:pt idx="1">
                  <c:v>6319.3529411764703</c:v>
                </c:pt>
              </c:numCache>
            </c:numRef>
          </c:val>
        </c:ser>
        <c:ser>
          <c:idx val="1"/>
          <c:order val="1"/>
          <c:tx>
            <c:strRef>
              <c:f>'Bilant Salarii'!$A$25:$C$25</c:f>
              <c:strCache>
                <c:ptCount val="1"/>
                <c:pt idx="0">
                  <c:v>Salariu mediu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'Bilant Salarii'!$A$24:$C$25</c:f>
              <c:strCache>
                <c:ptCount val="2"/>
                <c:pt idx="0">
                  <c:v>Salariu agent</c:v>
                </c:pt>
                <c:pt idx="1">
                  <c:v>Salariu mediu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'Bilant Salarii'!$I$3</c:f>
              <c:strCache>
                <c:ptCount val="1"/>
                <c:pt idx="0">
                  <c:v>Salariu net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p3d>
              <a:contourClr>
                <a:schemeClr val="accent6">
                  <a:lumMod val="50000"/>
                </a:schemeClr>
              </a:contourClr>
            </a:sp3d>
          </c:spPr>
          <c:invertIfNegative val="0"/>
          <c:cat>
            <c:strRef>
              <c:f>'Bilant Salarii'!$B$4:$B$20</c:f>
              <c:strCache>
                <c:ptCount val="17"/>
                <c:pt idx="0">
                  <c:v>Bitu</c:v>
                </c:pt>
                <c:pt idx="1">
                  <c:v>Boteanu</c:v>
                </c:pt>
                <c:pt idx="2">
                  <c:v>Man</c:v>
                </c:pt>
                <c:pt idx="3">
                  <c:v>Silva</c:v>
                </c:pt>
                <c:pt idx="4">
                  <c:v>Octav</c:v>
                </c:pt>
                <c:pt idx="5">
                  <c:v>Eustin</c:v>
                </c:pt>
                <c:pt idx="6">
                  <c:v>Matei</c:v>
                </c:pt>
                <c:pt idx="7">
                  <c:v>Sighinas</c:v>
                </c:pt>
                <c:pt idx="8">
                  <c:v>Ilie</c:v>
                </c:pt>
                <c:pt idx="9">
                  <c:v>Popa</c:v>
                </c:pt>
                <c:pt idx="10">
                  <c:v>Sima</c:v>
                </c:pt>
                <c:pt idx="11">
                  <c:v>Mihalache</c:v>
                </c:pt>
                <c:pt idx="12">
                  <c:v>Vladimir</c:v>
                </c:pt>
                <c:pt idx="13">
                  <c:v>Vlad</c:v>
                </c:pt>
                <c:pt idx="14">
                  <c:v>Corpa</c:v>
                </c:pt>
                <c:pt idx="15">
                  <c:v>Ioan</c:v>
                </c:pt>
                <c:pt idx="16">
                  <c:v>Ionescu</c:v>
                </c:pt>
              </c:strCache>
            </c:strRef>
          </c:cat>
          <c:val>
            <c:numRef>
              <c:f>'Bilant Salarii'!$I$4:$I$20</c:f>
              <c:numCache>
                <c:formatCode>#,##0\ [$RON]</c:formatCode>
                <c:ptCount val="17"/>
                <c:pt idx="0">
                  <c:v>11080</c:v>
                </c:pt>
                <c:pt idx="1">
                  <c:v>7220</c:v>
                </c:pt>
                <c:pt idx="2">
                  <c:v>6198</c:v>
                </c:pt>
                <c:pt idx="3">
                  <c:v>7592</c:v>
                </c:pt>
                <c:pt idx="4">
                  <c:v>6852</c:v>
                </c:pt>
                <c:pt idx="5">
                  <c:v>8170</c:v>
                </c:pt>
                <c:pt idx="6">
                  <c:v>6432</c:v>
                </c:pt>
                <c:pt idx="7">
                  <c:v>6390</c:v>
                </c:pt>
                <c:pt idx="8">
                  <c:v>6984</c:v>
                </c:pt>
                <c:pt idx="9">
                  <c:v>6300</c:v>
                </c:pt>
                <c:pt idx="10">
                  <c:v>5270</c:v>
                </c:pt>
                <c:pt idx="11">
                  <c:v>4470</c:v>
                </c:pt>
                <c:pt idx="12">
                  <c:v>5216</c:v>
                </c:pt>
                <c:pt idx="13">
                  <c:v>6012</c:v>
                </c:pt>
                <c:pt idx="14">
                  <c:v>4381</c:v>
                </c:pt>
                <c:pt idx="15">
                  <c:v>4008</c:v>
                </c:pt>
                <c:pt idx="16">
                  <c:v>4854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300299168"/>
        <c:axId val="-1300305152"/>
        <c:axId val="0"/>
      </c:bar3DChart>
      <c:catAx>
        <c:axId val="-13002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0305152"/>
        <c:crosses val="autoZero"/>
        <c:auto val="1"/>
        <c:lblAlgn val="ctr"/>
        <c:lblOffset val="100"/>
        <c:noMultiLvlLbl val="0"/>
      </c:catAx>
      <c:valAx>
        <c:axId val="-1300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RON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02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'Bilant Salarii'!$H$3</c:f>
              <c:strCache>
                <c:ptCount val="1"/>
                <c:pt idx="0">
                  <c:v>Bonusuri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'Bilant Salarii'!$B$4:$B$20</c:f>
              <c:strCache>
                <c:ptCount val="17"/>
                <c:pt idx="0">
                  <c:v>Bitu</c:v>
                </c:pt>
                <c:pt idx="1">
                  <c:v>Boteanu</c:v>
                </c:pt>
                <c:pt idx="2">
                  <c:v>Man</c:v>
                </c:pt>
                <c:pt idx="3">
                  <c:v>Silva</c:v>
                </c:pt>
                <c:pt idx="4">
                  <c:v>Octav</c:v>
                </c:pt>
                <c:pt idx="5">
                  <c:v>Eustin</c:v>
                </c:pt>
                <c:pt idx="6">
                  <c:v>Matei</c:v>
                </c:pt>
                <c:pt idx="7">
                  <c:v>Sighinas</c:v>
                </c:pt>
                <c:pt idx="8">
                  <c:v>Ilie</c:v>
                </c:pt>
                <c:pt idx="9">
                  <c:v>Popa</c:v>
                </c:pt>
                <c:pt idx="10">
                  <c:v>Sima</c:v>
                </c:pt>
                <c:pt idx="11">
                  <c:v>Mihalache</c:v>
                </c:pt>
                <c:pt idx="12">
                  <c:v>Vladimir</c:v>
                </c:pt>
                <c:pt idx="13">
                  <c:v>Vlad</c:v>
                </c:pt>
                <c:pt idx="14">
                  <c:v>Corpa</c:v>
                </c:pt>
                <c:pt idx="15">
                  <c:v>Ioan</c:v>
                </c:pt>
                <c:pt idx="16">
                  <c:v>Ionescu</c:v>
                </c:pt>
              </c:strCache>
            </c:strRef>
          </c:xVal>
          <c:yVal>
            <c:numRef>
              <c:f>'Bilant Salarii'!$H$4:$H$20</c:f>
              <c:numCache>
                <c:formatCode>#,##0\ [$RON]</c:formatCode>
                <c:ptCount val="17"/>
                <c:pt idx="0">
                  <c:v>1000</c:v>
                </c:pt>
                <c:pt idx="1">
                  <c:v>500</c:v>
                </c:pt>
                <c:pt idx="2">
                  <c:v>350</c:v>
                </c:pt>
                <c:pt idx="3">
                  <c:v>200</c:v>
                </c:pt>
                <c:pt idx="4">
                  <c:v>300</c:v>
                </c:pt>
                <c:pt idx="5">
                  <c:v>650</c:v>
                </c:pt>
                <c:pt idx="6">
                  <c:v>200</c:v>
                </c:pt>
                <c:pt idx="7">
                  <c:v>150</c:v>
                </c:pt>
                <c:pt idx="8">
                  <c:v>600</c:v>
                </c:pt>
                <c:pt idx="9">
                  <c:v>420</c:v>
                </c:pt>
                <c:pt idx="10">
                  <c:v>150</c:v>
                </c:pt>
                <c:pt idx="11">
                  <c:v>150</c:v>
                </c:pt>
                <c:pt idx="12">
                  <c:v>200</c:v>
                </c:pt>
                <c:pt idx="13">
                  <c:v>300</c:v>
                </c:pt>
                <c:pt idx="14">
                  <c:v>205</c:v>
                </c:pt>
                <c:pt idx="15">
                  <c:v>200</c:v>
                </c:pt>
                <c:pt idx="16">
                  <c:v>150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00297536"/>
        <c:axId val="-1300307872"/>
      </c:scatterChart>
      <c:valAx>
        <c:axId val="-13002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0307872"/>
        <c:crosses val="autoZero"/>
        <c:crossBetween val="midCat"/>
      </c:valAx>
      <c:valAx>
        <c:axId val="-13003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RON]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029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2982D95-0FA8-4B6E-9003-2F13D57C67B0}" type="doc">
      <dgm:prSet loTypeId="urn:microsoft.com/office/officeart/2008/layout/NameandTitleOrganizationalChart" loCatId="hierarchy" qsTypeId="urn:microsoft.com/office/officeart/2005/8/quickstyle/simple2" qsCatId="simple" csTypeId="urn:microsoft.com/office/officeart/2005/8/colors/colorful1" csCatId="colorful" phldr="1"/>
      <dgm:spPr/>
      <dgm:t>
        <a:bodyPr/>
        <a:lstStyle/>
        <a:p>
          <a:endParaRPr lang="en-US"/>
        </a:p>
      </dgm:t>
    </dgm:pt>
    <dgm:pt modelId="{8BE0F5CA-21DF-40C7-9BE5-866907E7299C}">
      <dgm:prSet phldrT="[Text]" custT="1"/>
      <dgm:spPr>
        <a:solidFill>
          <a:srgbClr val="FF0000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Mihaela Bitu</a:t>
          </a:r>
        </a:p>
      </dgm:t>
    </dgm:pt>
    <dgm:pt modelId="{18768C3E-5289-40FA-BE88-06C5238B9CBB}" type="parTrans" cxnId="{E140B8FE-E96E-4534-B37A-B579B0D08ECD}">
      <dgm:prSet/>
      <dgm:spPr/>
      <dgm:t>
        <a:bodyPr/>
        <a:lstStyle/>
        <a:p>
          <a:endParaRPr lang="en-US"/>
        </a:p>
      </dgm:t>
    </dgm:pt>
    <dgm:pt modelId="{D993217B-6F66-45D8-A771-1EC4FE10C93A}" type="sibTrans" cxnId="{E140B8FE-E96E-4534-B37A-B579B0D08ECD}">
      <dgm:prSet custT="1"/>
      <dgm:spPr>
        <a:solidFill>
          <a:srgbClr val="FFFFFF">
            <a:alpha val="90000"/>
          </a:srgbClr>
        </a:solidFill>
        <a:ln>
          <a:solidFill>
            <a:srgbClr val="FF0000"/>
          </a:solidFill>
        </a:ln>
      </dgm:spPr>
      <dgm:t>
        <a:bodyPr/>
        <a:lstStyle/>
        <a:p>
          <a:pPr algn="ctr"/>
          <a:r>
            <a:rPr lang="en-US" sz="900" b="1"/>
            <a:t>Director executiv</a:t>
          </a:r>
        </a:p>
      </dgm:t>
    </dgm:pt>
    <dgm:pt modelId="{6B6E46D7-3013-4271-BC08-D4BB604B9278}" type="asst">
      <dgm:prSet phldrT="[Text]"/>
      <dgm:spPr>
        <a:solidFill>
          <a:srgbClr val="002060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Bogdan Boteanu</a:t>
          </a:r>
        </a:p>
      </dgm:t>
    </dgm:pt>
    <dgm:pt modelId="{8BC8BF10-95B5-46EB-87C8-98D1E08FA2FC}" type="parTrans" cxnId="{CBF9A00E-5C4D-4B56-8C91-7A5FF96DC82A}">
      <dgm:prSet/>
      <dgm:spPr/>
      <dgm:t>
        <a:bodyPr/>
        <a:lstStyle/>
        <a:p>
          <a:endParaRPr lang="en-US"/>
        </a:p>
      </dgm:t>
    </dgm:pt>
    <dgm:pt modelId="{89EF56CF-79F4-4307-92A6-D70538B50C30}" type="sibTrans" cxnId="{CBF9A00E-5C4D-4B56-8C91-7A5FF96DC82A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Deputy CEO &amp; Head of Midcorporate Banking</a:t>
          </a:r>
          <a:endParaRPr lang="en-US" sz="800" b="1"/>
        </a:p>
      </dgm:t>
    </dgm:pt>
    <dgm:pt modelId="{E9ECF3BA-ED22-4918-BA1A-4963A8243DA5}">
      <dgm:prSet phldrT="[Text]"/>
      <dgm:spPr>
        <a:solidFill>
          <a:schemeClr val="accent6">
            <a:lumMod val="50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>
              <a:solidFill>
                <a:schemeClr val="bg1"/>
              </a:solidFill>
            </a:rPr>
            <a:t>Daniel Mihalache</a:t>
          </a:r>
        </a:p>
      </dgm:t>
    </dgm:pt>
    <dgm:pt modelId="{2B2613C9-8CFF-473C-B72A-1BBAF937629A}" type="parTrans" cxnId="{A35305F6-5527-41F3-B210-BE42E5172859}">
      <dgm:prSet/>
      <dgm:spPr/>
      <dgm:t>
        <a:bodyPr/>
        <a:lstStyle/>
        <a:p>
          <a:endParaRPr lang="en-US"/>
        </a:p>
      </dgm:t>
    </dgm:pt>
    <dgm:pt modelId="{215E8264-4416-4513-8C3B-89611F6F00B4}" type="sibTrans" cxnId="{A35305F6-5527-41F3-B210-BE42E5172859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>
              <a:latin typeface="+mn-lt"/>
              <a:cs typeface="Arial" panose="020B0604020202020204" pitchFamily="34" charset="0"/>
            </a:rPr>
            <a:t>Relationship Manager Corporate</a:t>
          </a:r>
          <a:endParaRPr lang="en-US" sz="800" b="1">
            <a:latin typeface="+mn-lt"/>
            <a:cs typeface="Arial" panose="020B0604020202020204" pitchFamily="34" charset="0"/>
          </a:endParaRPr>
        </a:p>
      </dgm:t>
    </dgm:pt>
    <dgm:pt modelId="{1C49306B-CA59-4C92-A1E0-7EE8BFA5AD25}">
      <dgm:prSet phldrT="[Text]"/>
      <dgm:spPr>
        <a:solidFill>
          <a:schemeClr val="accent6">
            <a:lumMod val="50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Ioan Vladimir</a:t>
          </a:r>
        </a:p>
      </dgm:t>
    </dgm:pt>
    <dgm:pt modelId="{1CC45168-F94D-42A5-9688-7D5D600EF84B}" type="parTrans" cxnId="{8B6F0DBA-87CB-483C-AF54-4C47887324C6}">
      <dgm:prSet/>
      <dgm:spPr/>
      <dgm:t>
        <a:bodyPr/>
        <a:lstStyle/>
        <a:p>
          <a:endParaRPr lang="en-US"/>
        </a:p>
      </dgm:t>
    </dgm:pt>
    <dgm:pt modelId="{0617769D-71BE-463A-9956-227A8A5387E3}" type="sibTrans" cxnId="{8B6F0DBA-87CB-483C-AF54-4C47887324C6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>
              <a:latin typeface="+mn-lt"/>
              <a:cs typeface="Arial" panose="020B0604020202020204" pitchFamily="34" charset="0"/>
            </a:rPr>
            <a:t>Relationship Manager Corporate</a:t>
          </a:r>
          <a:endParaRPr lang="en-US" sz="800">
            <a:latin typeface="+mn-lt"/>
            <a:cs typeface="Arial" panose="020B0604020202020204" pitchFamily="34" charset="0"/>
          </a:endParaRPr>
        </a:p>
      </dgm:t>
    </dgm:pt>
    <dgm:pt modelId="{813C887E-0FD3-4EF5-8CAB-34223F2FCC0A}">
      <dgm:prSet phldrT="[Text]"/>
      <dgm:spPr>
        <a:solidFill>
          <a:schemeClr val="accent6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Diana Ionescu</a:t>
          </a:r>
        </a:p>
      </dgm:t>
    </dgm:pt>
    <dgm:pt modelId="{7A2E5924-404B-41CB-9ED7-B247E46F8CCA}" type="parTrans" cxnId="{4C6A808D-BC10-4BA9-90B4-4CCEDF599560}">
      <dgm:prSet/>
      <dgm:spPr/>
      <dgm:t>
        <a:bodyPr/>
        <a:lstStyle/>
        <a:p>
          <a:endParaRPr lang="en-US"/>
        </a:p>
      </dgm:t>
    </dgm:pt>
    <dgm:pt modelId="{D4281154-10FB-47B0-80E4-86F7E91DD8FF}" type="sibTrans" cxnId="{4C6A808D-BC10-4BA9-90B4-4CCEDF599560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/>
            <a:t>Call Center Officer</a:t>
          </a:r>
        </a:p>
      </dgm:t>
    </dgm:pt>
    <dgm:pt modelId="{1B8F97E9-92C4-4A4A-B9A4-3C1F22DA1755}" type="asst">
      <dgm:prSet phldrT="[Text]"/>
      <dgm:spPr>
        <a:solidFill>
          <a:schemeClr val="accent5">
            <a:lumMod val="50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Denis Man</a:t>
          </a:r>
        </a:p>
      </dgm:t>
    </dgm:pt>
    <dgm:pt modelId="{95DFA020-5E8B-419B-AD43-D38A90B5D04B}" type="parTrans" cxnId="{0504C752-872E-4DAD-A896-65A0993DD460}">
      <dgm:prSet/>
      <dgm:spPr/>
      <dgm:t>
        <a:bodyPr/>
        <a:lstStyle/>
        <a:p>
          <a:endParaRPr lang="en-US"/>
        </a:p>
      </dgm:t>
    </dgm:pt>
    <dgm:pt modelId="{C31BC545-AB52-444C-B037-3983626FEBBA}" type="sibTrans" cxnId="{0504C752-872E-4DAD-A896-65A0993DD460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Head of Retail Banking</a:t>
          </a:r>
          <a:endParaRPr lang="en-US" sz="800"/>
        </a:p>
      </dgm:t>
    </dgm:pt>
    <dgm:pt modelId="{A16E363A-DD5A-4FB1-8525-BD5BF0986396}" type="asst">
      <dgm:prSet phldrT="[Text]"/>
      <dgm:spPr>
        <a:solidFill>
          <a:schemeClr val="accent5">
            <a:lumMod val="75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Sergiu Silva</a:t>
          </a:r>
        </a:p>
      </dgm:t>
    </dgm:pt>
    <dgm:pt modelId="{A44D0972-6D2A-4086-9D38-B96E9057E2FD}" type="parTrans" cxnId="{08BD9E77-D1AE-42BE-A4E1-60E07FDFF05F}">
      <dgm:prSet/>
      <dgm:spPr/>
      <dgm:t>
        <a:bodyPr/>
        <a:lstStyle/>
        <a:p>
          <a:endParaRPr lang="en-US"/>
        </a:p>
      </dgm:t>
    </dgm:pt>
    <dgm:pt modelId="{8473E639-1FED-4365-BD14-4310CDBA790E}" type="sibTrans" cxnId="{08BD9E77-D1AE-42BE-A4E1-60E07FDFF05F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Chief Financial Officer</a:t>
          </a:r>
          <a:endParaRPr lang="en-US" sz="800"/>
        </a:p>
      </dgm:t>
    </dgm:pt>
    <dgm:pt modelId="{3FF27086-4C50-473A-AD71-15A0BD1164EA}" type="asst">
      <dgm:prSet phldrT="[Text]"/>
      <dgm:spPr>
        <a:solidFill>
          <a:schemeClr val="accent5">
            <a:lumMod val="75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Vlad Octav</a:t>
          </a:r>
        </a:p>
      </dgm:t>
    </dgm:pt>
    <dgm:pt modelId="{043AFB48-7A73-4A53-8F73-5E6B9C5F3628}" type="parTrans" cxnId="{79A2968A-C508-424C-9573-E42EECFDF8E8}">
      <dgm:prSet/>
      <dgm:spPr/>
      <dgm:t>
        <a:bodyPr/>
        <a:lstStyle/>
        <a:p>
          <a:endParaRPr lang="en-US"/>
        </a:p>
      </dgm:t>
    </dgm:pt>
    <dgm:pt modelId="{910D079D-6F56-4622-A7BA-CCA19989783C}" type="sibTrans" cxnId="{79A2968A-C508-424C-9573-E42EECFDF8E8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Chief Risk Officer</a:t>
          </a:r>
          <a:endParaRPr lang="en-US" sz="800"/>
        </a:p>
      </dgm:t>
    </dgm:pt>
    <dgm:pt modelId="{81FDDC4A-8E5A-47BA-B0C5-5458174A7EC9}" type="asst">
      <dgm:prSet phldrT="[Text]"/>
      <dgm:spPr>
        <a:solidFill>
          <a:schemeClr val="accent5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Silviu Eustin</a:t>
          </a:r>
        </a:p>
      </dgm:t>
    </dgm:pt>
    <dgm:pt modelId="{E8F3E66D-9ECF-4CFF-BCE0-03862C253836}" type="parTrans" cxnId="{4E054F5A-9D40-4D52-9EF3-82CC2E4D0988}">
      <dgm:prSet/>
      <dgm:spPr/>
      <dgm:t>
        <a:bodyPr/>
        <a:lstStyle/>
        <a:p>
          <a:endParaRPr lang="en-US"/>
        </a:p>
      </dgm:t>
    </dgm:pt>
    <dgm:pt modelId="{416C0B47-B6E8-4BAA-9A7F-2FAAE524D485}" type="sibTrans" cxnId="{4E054F5A-9D40-4D52-9EF3-82CC2E4D0988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Head of Human Resources</a:t>
          </a:r>
          <a:endParaRPr lang="en-US" sz="800"/>
        </a:p>
      </dgm:t>
    </dgm:pt>
    <dgm:pt modelId="{1C10B364-7914-4267-82C1-045A077EBA71}" type="asst">
      <dgm:prSet phldrT="[Text]"/>
      <dgm:spPr>
        <a:solidFill>
          <a:schemeClr val="accent5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Maria-Cristina Matei</a:t>
          </a:r>
          <a:endParaRPr lang="en-US"/>
        </a:p>
      </dgm:t>
    </dgm:pt>
    <dgm:pt modelId="{90AFA71B-97B0-4C87-9C27-DA7093B33C96}" type="parTrans" cxnId="{BA3B1936-8EBE-4031-973B-07BB98D312E0}">
      <dgm:prSet/>
      <dgm:spPr/>
      <dgm:t>
        <a:bodyPr/>
        <a:lstStyle/>
        <a:p>
          <a:endParaRPr lang="en-US"/>
        </a:p>
      </dgm:t>
    </dgm:pt>
    <dgm:pt modelId="{3AA05422-93FF-4C7E-8208-698B9CF801B4}" type="sibTrans" cxnId="{BA3B1936-8EBE-4031-973B-07BB98D312E0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Deputy CEO &amp; Chief Operating Officer</a:t>
          </a:r>
          <a:endParaRPr lang="en-US" sz="800"/>
        </a:p>
      </dgm:t>
    </dgm:pt>
    <dgm:pt modelId="{6A361075-2343-40D5-A2FD-1BEC4803076D}" type="asst">
      <dgm:prSet phldrT="[Text]"/>
      <dgm:spPr>
        <a:solidFill>
          <a:srgbClr val="00B0F0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Răzvan Sighinaș</a:t>
          </a:r>
          <a:endParaRPr lang="en-US"/>
        </a:p>
      </dgm:t>
    </dgm:pt>
    <dgm:pt modelId="{7A2F3698-6080-4053-89E8-320852AB80EF}" type="parTrans" cxnId="{C359BE3C-0671-426F-9945-1DC8E96DBAE5}">
      <dgm:prSet/>
      <dgm:spPr/>
      <dgm:t>
        <a:bodyPr/>
        <a:lstStyle/>
        <a:p>
          <a:endParaRPr lang="en-US"/>
        </a:p>
      </dgm:t>
    </dgm:pt>
    <dgm:pt modelId="{89CE9876-578B-4E8E-94C2-F060524CA42C}" type="sibTrans" cxnId="{C359BE3C-0671-426F-9945-1DC8E96DBAE5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Deputy CEO &amp; Chief Information Officer</a:t>
          </a:r>
          <a:endParaRPr lang="en-US" sz="800"/>
        </a:p>
      </dgm:t>
    </dgm:pt>
    <dgm:pt modelId="{EF25E135-A303-42F4-ADA9-71FE7BEC9C26}" type="asst">
      <dgm:prSet phldrT="[Text]"/>
      <dgm:spPr>
        <a:solidFill>
          <a:srgbClr val="00B0F0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Florin Ilie</a:t>
          </a:r>
          <a:endParaRPr lang="en-US"/>
        </a:p>
      </dgm:t>
    </dgm:pt>
    <dgm:pt modelId="{F4DB5274-4EA7-4CDF-BC65-D03260DC08E6}" type="parTrans" cxnId="{DDF28A27-1BD4-4EA4-8ADA-A64FF563A1A7}">
      <dgm:prSet/>
      <dgm:spPr/>
      <dgm:t>
        <a:bodyPr/>
        <a:lstStyle/>
        <a:p>
          <a:endParaRPr lang="en-US"/>
        </a:p>
      </dgm:t>
    </dgm:pt>
    <dgm:pt modelId="{6196C123-A2D5-409D-88DE-73F07D78FA59}" type="sibTrans" cxnId="{DDF28A27-1BD4-4EA4-8ADA-A64FF563A1A7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/>
            <a:t>Deputy CEO &amp; Head of Wholesale Banking</a:t>
          </a:r>
          <a:endParaRPr lang="en-US" sz="800"/>
        </a:p>
      </dgm:t>
    </dgm:pt>
    <dgm:pt modelId="{BD321F02-34A7-476D-ADEE-AAB6C2FECA8A}">
      <dgm:prSet/>
      <dgm:spPr>
        <a:solidFill>
          <a:schemeClr val="accent6">
            <a:lumMod val="75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Andreea Corpa</a:t>
          </a:r>
        </a:p>
      </dgm:t>
    </dgm:pt>
    <dgm:pt modelId="{08D1EA6A-CA3E-48C0-94FB-C316C3A175A1}" type="sibTrans" cxnId="{6F038602-5429-4E2E-9294-B0D447FB2A76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>
              <a:latin typeface="+mn-lt"/>
              <a:cs typeface="Arial" panose="020B0604020202020204" pitchFamily="34" charset="0"/>
            </a:rPr>
            <a:t>Specialist Contract Center</a:t>
          </a:r>
          <a:endParaRPr lang="en-US" sz="800">
            <a:latin typeface="+mn-lt"/>
            <a:cs typeface="Arial" panose="020B0604020202020204" pitchFamily="34" charset="0"/>
          </a:endParaRPr>
        </a:p>
      </dgm:t>
    </dgm:pt>
    <dgm:pt modelId="{AFB8CA10-764C-4DF9-BE8F-F1340F3C3AE7}" type="parTrans" cxnId="{6F038602-5429-4E2E-9294-B0D447FB2A76}">
      <dgm:prSet/>
      <dgm:spPr/>
      <dgm:t>
        <a:bodyPr/>
        <a:lstStyle/>
        <a:p>
          <a:endParaRPr lang="en-US"/>
        </a:p>
      </dgm:t>
    </dgm:pt>
    <dgm:pt modelId="{8D613488-C0CD-4294-B15A-7FB241C1AA03}">
      <dgm:prSet/>
      <dgm:spPr>
        <a:solidFill>
          <a:schemeClr val="accent6"/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Vasile Ioan</a:t>
          </a:r>
        </a:p>
      </dgm:t>
    </dgm:pt>
    <dgm:pt modelId="{9463AB3F-CA7C-4CE1-A25B-0FC28DD61CB5}" type="sibTrans" cxnId="{1AB46F50-2820-46D0-B0CB-8F60E02C74C8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/>
            <a:t>Call Center Officer</a:t>
          </a:r>
        </a:p>
      </dgm:t>
    </dgm:pt>
    <dgm:pt modelId="{99B8AD55-F97D-4773-A33B-D2FA40902210}" type="parTrans" cxnId="{1AB46F50-2820-46D0-B0CB-8F60E02C74C8}">
      <dgm:prSet/>
      <dgm:spPr/>
      <dgm:t>
        <a:bodyPr/>
        <a:lstStyle/>
        <a:p>
          <a:endParaRPr lang="en-US"/>
        </a:p>
      </dgm:t>
    </dgm:pt>
    <dgm:pt modelId="{7E655FF3-85E4-456D-B1BC-FDE06CD4A3FA}">
      <dgm:prSet/>
      <dgm:spPr>
        <a:solidFill>
          <a:schemeClr val="accent6">
            <a:lumMod val="75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 i="0"/>
            <a:t>Mihai Vlad</a:t>
          </a:r>
        </a:p>
      </dgm:t>
    </dgm:pt>
    <dgm:pt modelId="{AD49CBE6-FC53-4FFA-8BB2-1102F35B32C8}" type="sibTrans" cxnId="{5E9CCBB8-FE64-4037-AF70-18038C4C3BA6}">
      <dgm:prSet custT="1"/>
      <dgm:spPr>
        <a:ln>
          <a:solidFill>
            <a:srgbClr val="FF3D01"/>
          </a:solidFill>
        </a:ln>
      </dgm:spPr>
      <dgm:t>
        <a:bodyPr/>
        <a:lstStyle/>
        <a:p>
          <a:pPr algn="ctr"/>
          <a:r>
            <a:rPr lang="en-US" sz="800" b="1" i="0">
              <a:latin typeface="+mn-lt"/>
              <a:cs typeface="Arial" panose="020B0604020202020204" pitchFamily="34" charset="0"/>
            </a:rPr>
            <a:t>Specialist Contract Center</a:t>
          </a:r>
          <a:endParaRPr lang="en-US" sz="800">
            <a:latin typeface="+mn-lt"/>
            <a:cs typeface="Arial" panose="020B0604020202020204" pitchFamily="34" charset="0"/>
          </a:endParaRPr>
        </a:p>
      </dgm:t>
    </dgm:pt>
    <dgm:pt modelId="{6F80826F-D584-4FFC-AFB1-0C1DF0D87A27}" type="parTrans" cxnId="{5E9CCBB8-FE64-4037-AF70-18038C4C3BA6}">
      <dgm:prSet/>
      <dgm:spPr/>
      <dgm:t>
        <a:bodyPr/>
        <a:lstStyle/>
        <a:p>
          <a:endParaRPr lang="en-US"/>
        </a:p>
      </dgm:t>
    </dgm:pt>
    <dgm:pt modelId="{8CADCE41-7324-4E48-B3E2-1578474C2884}" type="asst">
      <dgm:prSet phldrT="[Text]"/>
      <dgm:spPr>
        <a:solidFill>
          <a:schemeClr val="accent1">
            <a:lumMod val="60000"/>
            <a:lumOff val="40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Ioana Sima</a:t>
          </a:r>
        </a:p>
      </dgm:t>
    </dgm:pt>
    <dgm:pt modelId="{0B864457-446C-438B-836C-DD1F34FEDC74}" type="parTrans" cxnId="{B173CAF3-4957-4556-804E-5CB7B82F984C}">
      <dgm:prSet/>
      <dgm:spPr/>
      <dgm:t>
        <a:bodyPr/>
        <a:lstStyle/>
        <a:p>
          <a:endParaRPr lang="en-US"/>
        </a:p>
      </dgm:t>
    </dgm:pt>
    <dgm:pt modelId="{4ECD14F2-ED63-4481-958E-4F08C3BD4AA2}" type="sibTrans" cxnId="{B173CAF3-4957-4556-804E-5CB7B82F984C}">
      <dgm:prSet custT="1"/>
      <dgm:spPr/>
      <dgm:t>
        <a:bodyPr/>
        <a:lstStyle/>
        <a:p>
          <a:pPr algn="ctr"/>
          <a:r>
            <a:rPr lang="en-US" sz="800" b="1"/>
            <a:t>Operating Officer</a:t>
          </a:r>
        </a:p>
      </dgm:t>
    </dgm:pt>
    <dgm:pt modelId="{C96326C4-D172-4319-A501-568D2D2661BB}" type="asst">
      <dgm:prSet phldrT="[Text]"/>
      <dgm:spPr>
        <a:solidFill>
          <a:schemeClr val="accent1">
            <a:lumMod val="60000"/>
            <a:lumOff val="40000"/>
          </a:schemeClr>
        </a:solidFill>
        <a:ln>
          <a:solidFill>
            <a:srgbClr val="FF3D01"/>
          </a:solidFill>
        </a:ln>
      </dgm:spPr>
      <dgm:t>
        <a:bodyPr/>
        <a:lstStyle/>
        <a:p>
          <a:r>
            <a:rPr lang="en-US" b="1"/>
            <a:t>Denis Popa</a:t>
          </a:r>
        </a:p>
      </dgm:t>
    </dgm:pt>
    <dgm:pt modelId="{B6BDCD99-6CE2-4A1A-A26D-680113FD19EE}" type="parTrans" cxnId="{838683FE-A197-47EC-9B58-7272DA573A3F}">
      <dgm:prSet/>
      <dgm:spPr/>
      <dgm:t>
        <a:bodyPr/>
        <a:lstStyle/>
        <a:p>
          <a:endParaRPr lang="en-US"/>
        </a:p>
      </dgm:t>
    </dgm:pt>
    <dgm:pt modelId="{D684B25D-4EBA-4BAC-BA07-4DB6A4B3C97E}" type="sibTrans" cxnId="{838683FE-A197-47EC-9B58-7272DA573A3F}">
      <dgm:prSet custT="1"/>
      <dgm:spPr/>
      <dgm:t>
        <a:bodyPr/>
        <a:lstStyle/>
        <a:p>
          <a:pPr algn="ctr"/>
          <a:r>
            <a:rPr lang="en-US" sz="800" b="1"/>
            <a:t>Operating Officer</a:t>
          </a:r>
        </a:p>
      </dgm:t>
    </dgm:pt>
    <dgm:pt modelId="{FF123924-7C18-40CD-8914-649056F0176D}" type="pres">
      <dgm:prSet presAssocID="{12982D95-0FA8-4B6E-9003-2F13D57C67B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2AA3FA3B-F919-4BE1-B921-5C005A4F4760}" type="pres">
      <dgm:prSet presAssocID="{8BE0F5CA-21DF-40C7-9BE5-866907E7299C}" presName="hierRoot1" presStyleCnt="0">
        <dgm:presLayoutVars>
          <dgm:hierBranch val="init"/>
        </dgm:presLayoutVars>
      </dgm:prSet>
      <dgm:spPr/>
    </dgm:pt>
    <dgm:pt modelId="{8B17D9C9-7B08-46E0-83BA-438082C2AD7C}" type="pres">
      <dgm:prSet presAssocID="{8BE0F5CA-21DF-40C7-9BE5-866907E7299C}" presName="rootComposite1" presStyleCnt="0"/>
      <dgm:spPr/>
    </dgm:pt>
    <dgm:pt modelId="{4DFCA23F-EF05-459C-842C-0A60A49E27F2}" type="pres">
      <dgm:prSet presAssocID="{8BE0F5CA-21DF-40C7-9BE5-866907E7299C}" presName="rootText1" presStyleLbl="node0" presStyleIdx="0" presStyleCnt="1" custScaleX="166025" custScaleY="156504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0F2CEDD1-D2CA-402B-9E27-E75DCA31C96E}" type="pres">
      <dgm:prSet presAssocID="{8BE0F5CA-21DF-40C7-9BE5-866907E7299C}" presName="titleText1" presStyleLbl="fgAcc0" presStyleIdx="0" presStyleCnt="1" custScaleX="128230" custScaleY="233941" custLinFactNeighborX="66307" custLinFactNeighborY="74739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C41E7381-D9A4-425A-B01E-C31A5CEFBF30}" type="pres">
      <dgm:prSet presAssocID="{8BE0F5CA-21DF-40C7-9BE5-866907E7299C}" presName="rootConnector1" presStyleLbl="node1" presStyleIdx="0" presStyleCnt="6"/>
      <dgm:spPr/>
      <dgm:t>
        <a:bodyPr/>
        <a:lstStyle/>
        <a:p>
          <a:endParaRPr lang="en-US"/>
        </a:p>
      </dgm:t>
    </dgm:pt>
    <dgm:pt modelId="{A501B5B6-FB30-45DD-ADFB-817242CCE690}" type="pres">
      <dgm:prSet presAssocID="{8BE0F5CA-21DF-40C7-9BE5-866907E7299C}" presName="hierChild2" presStyleCnt="0"/>
      <dgm:spPr/>
    </dgm:pt>
    <dgm:pt modelId="{7B713139-EA38-4293-AD86-72948EB53F6B}" type="pres">
      <dgm:prSet presAssocID="{2B2613C9-8CFF-473C-B72A-1BBAF937629A}" presName="Name37" presStyleLbl="parChTrans1D2" presStyleIdx="0" presStyleCnt="16"/>
      <dgm:spPr/>
      <dgm:t>
        <a:bodyPr/>
        <a:lstStyle/>
        <a:p>
          <a:endParaRPr lang="en-US"/>
        </a:p>
      </dgm:t>
    </dgm:pt>
    <dgm:pt modelId="{9BDFE5BC-8F11-45C4-952B-D258A977B3D7}" type="pres">
      <dgm:prSet presAssocID="{E9ECF3BA-ED22-4918-BA1A-4963A8243DA5}" presName="hierRoot2" presStyleCnt="0">
        <dgm:presLayoutVars>
          <dgm:hierBranch val="init"/>
        </dgm:presLayoutVars>
      </dgm:prSet>
      <dgm:spPr/>
    </dgm:pt>
    <dgm:pt modelId="{53689F64-D843-418E-84E7-8362807C08DB}" type="pres">
      <dgm:prSet presAssocID="{E9ECF3BA-ED22-4918-BA1A-4963A8243DA5}" presName="rootComposite" presStyleCnt="0"/>
      <dgm:spPr/>
    </dgm:pt>
    <dgm:pt modelId="{529D0C0D-E28E-4DBA-B7A7-59B56E7E09F2}" type="pres">
      <dgm:prSet presAssocID="{E9ECF3BA-ED22-4918-BA1A-4963A8243DA5}" presName="rootText" presStyleLbl="node1" presStyleIdx="0" presStyleCnt="6" custLinFactNeighborX="-4535" custLinFactNeighborY="-10511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6F158CD-290D-4233-9399-11BD215625EB}" type="pres">
      <dgm:prSet presAssocID="{E9ECF3BA-ED22-4918-BA1A-4963A8243DA5}" presName="titleText2" presStyleLbl="fgAcc1" presStyleIdx="0" presStyleCnt="6" custScaleX="112773" custScaleY="183687" custLinFactNeighborX="12049" custLinFactNeighborY="85284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0C86490C-6BE3-41D3-ACAC-18B9EA50800C}" type="pres">
      <dgm:prSet presAssocID="{E9ECF3BA-ED22-4918-BA1A-4963A8243DA5}" presName="rootConnector" presStyleLbl="node2" presStyleIdx="0" presStyleCnt="0"/>
      <dgm:spPr/>
      <dgm:t>
        <a:bodyPr/>
        <a:lstStyle/>
        <a:p>
          <a:endParaRPr lang="en-US"/>
        </a:p>
      </dgm:t>
    </dgm:pt>
    <dgm:pt modelId="{A4E54B0D-6533-4B8F-A387-21499CD786BB}" type="pres">
      <dgm:prSet presAssocID="{E9ECF3BA-ED22-4918-BA1A-4963A8243DA5}" presName="hierChild4" presStyleCnt="0"/>
      <dgm:spPr/>
    </dgm:pt>
    <dgm:pt modelId="{69F172A3-398E-4D8D-88B5-3E58BB8FA3EE}" type="pres">
      <dgm:prSet presAssocID="{E9ECF3BA-ED22-4918-BA1A-4963A8243DA5}" presName="hierChild5" presStyleCnt="0"/>
      <dgm:spPr/>
    </dgm:pt>
    <dgm:pt modelId="{B69FF003-8683-4965-B417-B1623594531C}" type="pres">
      <dgm:prSet presAssocID="{1CC45168-F94D-42A5-9688-7D5D600EF84B}" presName="Name37" presStyleLbl="parChTrans1D2" presStyleIdx="1" presStyleCnt="16"/>
      <dgm:spPr/>
      <dgm:t>
        <a:bodyPr/>
        <a:lstStyle/>
        <a:p>
          <a:endParaRPr lang="en-US"/>
        </a:p>
      </dgm:t>
    </dgm:pt>
    <dgm:pt modelId="{248A43A4-BE92-423F-9A47-16CB75922D2E}" type="pres">
      <dgm:prSet presAssocID="{1C49306B-CA59-4C92-A1E0-7EE8BFA5AD25}" presName="hierRoot2" presStyleCnt="0">
        <dgm:presLayoutVars>
          <dgm:hierBranch val="init"/>
        </dgm:presLayoutVars>
      </dgm:prSet>
      <dgm:spPr/>
    </dgm:pt>
    <dgm:pt modelId="{EEF84264-47D2-47CE-BEEF-B596A614A13B}" type="pres">
      <dgm:prSet presAssocID="{1C49306B-CA59-4C92-A1E0-7EE8BFA5AD25}" presName="rootComposite" presStyleCnt="0"/>
      <dgm:spPr/>
    </dgm:pt>
    <dgm:pt modelId="{ABFDD524-1E42-4D71-988F-32F4B5745A54}" type="pres">
      <dgm:prSet presAssocID="{1C49306B-CA59-4C92-A1E0-7EE8BFA5AD25}" presName="rootText" presStyleLbl="node1" presStyleIdx="1" presStyleCnt="6" custScaleX="125188" custScaleY="99940" custLinFactNeighborX="-3619" custLinFactNeighborY="-1747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FB7E6179-5444-4F54-A603-5BD60AF03186}" type="pres">
      <dgm:prSet presAssocID="{1C49306B-CA59-4C92-A1E0-7EE8BFA5AD25}" presName="titleText2" presStyleLbl="fgAcc1" presStyleIdx="1" presStyleCnt="6" custScaleX="120024" custScaleY="188264" custLinFactNeighborX="15337" custLinFactNeighborY="28182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E18832E-EF3D-4479-9E05-E9B78E8B91AA}" type="pres">
      <dgm:prSet presAssocID="{1C49306B-CA59-4C92-A1E0-7EE8BFA5AD25}" presName="rootConnector" presStyleLbl="node2" presStyleIdx="0" presStyleCnt="0"/>
      <dgm:spPr/>
      <dgm:t>
        <a:bodyPr/>
        <a:lstStyle/>
        <a:p>
          <a:endParaRPr lang="en-US"/>
        </a:p>
      </dgm:t>
    </dgm:pt>
    <dgm:pt modelId="{86FC5985-DC3E-4D08-ABBB-6953C6C39BAA}" type="pres">
      <dgm:prSet presAssocID="{1C49306B-CA59-4C92-A1E0-7EE8BFA5AD25}" presName="hierChild4" presStyleCnt="0"/>
      <dgm:spPr/>
    </dgm:pt>
    <dgm:pt modelId="{2C73CCEF-2962-4DA9-B3AC-0E8334C3D234}" type="pres">
      <dgm:prSet presAssocID="{1C49306B-CA59-4C92-A1E0-7EE8BFA5AD25}" presName="hierChild5" presStyleCnt="0"/>
      <dgm:spPr/>
    </dgm:pt>
    <dgm:pt modelId="{4B0D0867-2076-489B-8C96-92B14623A05E}" type="pres">
      <dgm:prSet presAssocID="{6F80826F-D584-4FFC-AFB1-0C1DF0D87A27}" presName="Name37" presStyleLbl="parChTrans1D2" presStyleIdx="2" presStyleCnt="16"/>
      <dgm:spPr/>
      <dgm:t>
        <a:bodyPr/>
        <a:lstStyle/>
        <a:p>
          <a:endParaRPr lang="en-US"/>
        </a:p>
      </dgm:t>
    </dgm:pt>
    <dgm:pt modelId="{E7C5282B-EBF6-4B61-A9BF-844F03FEDA36}" type="pres">
      <dgm:prSet presAssocID="{7E655FF3-85E4-456D-B1BC-FDE06CD4A3FA}" presName="hierRoot2" presStyleCnt="0">
        <dgm:presLayoutVars>
          <dgm:hierBranch val="init"/>
        </dgm:presLayoutVars>
      </dgm:prSet>
      <dgm:spPr/>
    </dgm:pt>
    <dgm:pt modelId="{B058125D-6D28-4292-A2AB-7053D3BA2EB7}" type="pres">
      <dgm:prSet presAssocID="{7E655FF3-85E4-456D-B1BC-FDE06CD4A3FA}" presName="rootComposite" presStyleCnt="0"/>
      <dgm:spPr/>
    </dgm:pt>
    <dgm:pt modelId="{B156287E-6BE4-416F-849C-7237BA4EECB4}" type="pres">
      <dgm:prSet presAssocID="{7E655FF3-85E4-456D-B1BC-FDE06CD4A3FA}" presName="rootText" presStyleLbl="node1" presStyleIdx="2" presStyleCnt="6" custLinFactNeighborX="905" custLinFactNeighborY="-6990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6982F8CA-73DB-47A0-94BB-7D6478D38255}" type="pres">
      <dgm:prSet presAssocID="{7E655FF3-85E4-456D-B1BC-FDE06CD4A3FA}" presName="titleText2" presStyleLbl="fgAcc1" presStyleIdx="2" presStyleCnt="6" custScaleY="232520" custLinFactNeighborX="7766" custLinFactNeighborY="80009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8EDB2D1-DD22-4D31-8963-57368E51D850}" type="pres">
      <dgm:prSet presAssocID="{7E655FF3-85E4-456D-B1BC-FDE06CD4A3FA}" presName="rootConnector" presStyleLbl="node2" presStyleIdx="0" presStyleCnt="0"/>
      <dgm:spPr/>
      <dgm:t>
        <a:bodyPr/>
        <a:lstStyle/>
        <a:p>
          <a:endParaRPr lang="en-US"/>
        </a:p>
      </dgm:t>
    </dgm:pt>
    <dgm:pt modelId="{79DCBB33-7B69-4933-911D-637EC3DBB8C3}" type="pres">
      <dgm:prSet presAssocID="{7E655FF3-85E4-456D-B1BC-FDE06CD4A3FA}" presName="hierChild4" presStyleCnt="0"/>
      <dgm:spPr/>
    </dgm:pt>
    <dgm:pt modelId="{74BFA647-A983-4B57-8DB4-4783FFC839FD}" type="pres">
      <dgm:prSet presAssocID="{7E655FF3-85E4-456D-B1BC-FDE06CD4A3FA}" presName="hierChild5" presStyleCnt="0"/>
      <dgm:spPr/>
    </dgm:pt>
    <dgm:pt modelId="{B435E124-487F-4DE7-860C-EEC54876A7CA}" type="pres">
      <dgm:prSet presAssocID="{AFB8CA10-764C-4DF9-BE8F-F1340F3C3AE7}" presName="Name37" presStyleLbl="parChTrans1D2" presStyleIdx="3" presStyleCnt="16"/>
      <dgm:spPr/>
      <dgm:t>
        <a:bodyPr/>
        <a:lstStyle/>
        <a:p>
          <a:endParaRPr lang="en-US"/>
        </a:p>
      </dgm:t>
    </dgm:pt>
    <dgm:pt modelId="{B99E0164-44D4-48AF-82DC-DDD875F650F7}" type="pres">
      <dgm:prSet presAssocID="{BD321F02-34A7-476D-ADEE-AAB6C2FECA8A}" presName="hierRoot2" presStyleCnt="0">
        <dgm:presLayoutVars>
          <dgm:hierBranch val="init"/>
        </dgm:presLayoutVars>
      </dgm:prSet>
      <dgm:spPr/>
    </dgm:pt>
    <dgm:pt modelId="{580F34B5-706C-4214-99F8-ED95693463CA}" type="pres">
      <dgm:prSet presAssocID="{BD321F02-34A7-476D-ADEE-AAB6C2FECA8A}" presName="rootComposite" presStyleCnt="0"/>
      <dgm:spPr/>
    </dgm:pt>
    <dgm:pt modelId="{D5A2C886-8171-4317-B83A-C4234EAEDCD7}" type="pres">
      <dgm:prSet presAssocID="{BD321F02-34A7-476D-ADEE-AAB6C2FECA8A}" presName="rootText" presStyleLbl="node1" presStyleIdx="3" presStyleCnt="6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F17541B0-CBFB-4A95-A348-1581D16163CA}" type="pres">
      <dgm:prSet presAssocID="{BD321F02-34A7-476D-ADEE-AAB6C2FECA8A}" presName="titleText2" presStyleLbl="fgAcc1" presStyleIdx="3" presStyleCnt="6" custScaleX="101448" custScaleY="175369" custLinFactNeighborX="18980" custLinFactNeighborY="39639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AD546BC2-B9AB-457D-8915-3507A8820DD0}" type="pres">
      <dgm:prSet presAssocID="{BD321F02-34A7-476D-ADEE-AAB6C2FECA8A}" presName="rootConnector" presStyleLbl="node2" presStyleIdx="0" presStyleCnt="0"/>
      <dgm:spPr/>
      <dgm:t>
        <a:bodyPr/>
        <a:lstStyle/>
        <a:p>
          <a:endParaRPr lang="en-US"/>
        </a:p>
      </dgm:t>
    </dgm:pt>
    <dgm:pt modelId="{13EB832C-7EBF-444B-894B-32C7748B8712}" type="pres">
      <dgm:prSet presAssocID="{BD321F02-34A7-476D-ADEE-AAB6C2FECA8A}" presName="hierChild4" presStyleCnt="0"/>
      <dgm:spPr/>
    </dgm:pt>
    <dgm:pt modelId="{352FA61A-AA89-48EC-A8A4-A13293C7CB02}" type="pres">
      <dgm:prSet presAssocID="{BD321F02-34A7-476D-ADEE-AAB6C2FECA8A}" presName="hierChild5" presStyleCnt="0"/>
      <dgm:spPr/>
    </dgm:pt>
    <dgm:pt modelId="{81BCD3BF-598E-4AEA-835C-B2C619D509D7}" type="pres">
      <dgm:prSet presAssocID="{99B8AD55-F97D-4773-A33B-D2FA40902210}" presName="Name37" presStyleLbl="parChTrans1D2" presStyleIdx="4" presStyleCnt="16"/>
      <dgm:spPr/>
      <dgm:t>
        <a:bodyPr/>
        <a:lstStyle/>
        <a:p>
          <a:endParaRPr lang="en-US"/>
        </a:p>
      </dgm:t>
    </dgm:pt>
    <dgm:pt modelId="{13B64CC8-0854-45A3-8BD3-41D84ACA0626}" type="pres">
      <dgm:prSet presAssocID="{8D613488-C0CD-4294-B15A-7FB241C1AA03}" presName="hierRoot2" presStyleCnt="0">
        <dgm:presLayoutVars>
          <dgm:hierBranch val="init"/>
        </dgm:presLayoutVars>
      </dgm:prSet>
      <dgm:spPr/>
    </dgm:pt>
    <dgm:pt modelId="{2DEF155D-F402-4654-93A6-925A1C450878}" type="pres">
      <dgm:prSet presAssocID="{8D613488-C0CD-4294-B15A-7FB241C1AA03}" presName="rootComposite" presStyleCnt="0"/>
      <dgm:spPr/>
    </dgm:pt>
    <dgm:pt modelId="{61D81E75-B8A3-4C4A-8659-736C3FF1EAFB}" type="pres">
      <dgm:prSet presAssocID="{8D613488-C0CD-4294-B15A-7FB241C1AA03}" presName="rootText" presStyleLbl="node1" presStyleIdx="4" presStyleCnt="6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F7DF5899-0ECD-435B-A7BA-5E89EC87F067}" type="pres">
      <dgm:prSet presAssocID="{8D613488-C0CD-4294-B15A-7FB241C1AA03}" presName="titleText2" presStyleLbl="fgAcc1" presStyleIdx="4" presStyleCnt="6" custScaleX="106855" custScaleY="154058" custLinFactNeighborX="14430" custLinFactNeighborY="1999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0CB7280F-4F5C-4CBC-8974-61EB70C4DE39}" type="pres">
      <dgm:prSet presAssocID="{8D613488-C0CD-4294-B15A-7FB241C1AA03}" presName="rootConnector" presStyleLbl="node2" presStyleIdx="0" presStyleCnt="0"/>
      <dgm:spPr/>
      <dgm:t>
        <a:bodyPr/>
        <a:lstStyle/>
        <a:p>
          <a:endParaRPr lang="en-US"/>
        </a:p>
      </dgm:t>
    </dgm:pt>
    <dgm:pt modelId="{FFBEBBE3-1FEA-4027-851C-3E4794D7E058}" type="pres">
      <dgm:prSet presAssocID="{8D613488-C0CD-4294-B15A-7FB241C1AA03}" presName="hierChild4" presStyleCnt="0"/>
      <dgm:spPr/>
    </dgm:pt>
    <dgm:pt modelId="{D8CE9609-F943-467B-8FAF-4954CBF7D270}" type="pres">
      <dgm:prSet presAssocID="{8D613488-C0CD-4294-B15A-7FB241C1AA03}" presName="hierChild5" presStyleCnt="0"/>
      <dgm:spPr/>
    </dgm:pt>
    <dgm:pt modelId="{492844D7-DB35-4BCC-A4A6-A1F071747576}" type="pres">
      <dgm:prSet presAssocID="{7A2E5924-404B-41CB-9ED7-B247E46F8CCA}" presName="Name37" presStyleLbl="parChTrans1D2" presStyleIdx="5" presStyleCnt="16"/>
      <dgm:spPr/>
      <dgm:t>
        <a:bodyPr/>
        <a:lstStyle/>
        <a:p>
          <a:endParaRPr lang="en-US"/>
        </a:p>
      </dgm:t>
    </dgm:pt>
    <dgm:pt modelId="{7C8293C1-D7A9-43EE-AD7B-1D0D806D228C}" type="pres">
      <dgm:prSet presAssocID="{813C887E-0FD3-4EF5-8CAB-34223F2FCC0A}" presName="hierRoot2" presStyleCnt="0">
        <dgm:presLayoutVars>
          <dgm:hierBranch val="init"/>
        </dgm:presLayoutVars>
      </dgm:prSet>
      <dgm:spPr/>
    </dgm:pt>
    <dgm:pt modelId="{ECD3A6C3-98AB-4420-BC90-0B69109AA68F}" type="pres">
      <dgm:prSet presAssocID="{813C887E-0FD3-4EF5-8CAB-34223F2FCC0A}" presName="rootComposite" presStyleCnt="0"/>
      <dgm:spPr/>
    </dgm:pt>
    <dgm:pt modelId="{4EAFC1F3-ECC7-44E1-B1EE-5432A2CF3FD0}" type="pres">
      <dgm:prSet presAssocID="{813C887E-0FD3-4EF5-8CAB-34223F2FCC0A}" presName="rootText" presStyleLbl="node1" presStyleIdx="5" presStyleCnt="6" custScaleX="102987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48898B29-D62D-4413-8A72-FD1916680838}" type="pres">
      <dgm:prSet presAssocID="{813C887E-0FD3-4EF5-8CAB-34223F2FCC0A}" presName="titleText2" presStyleLbl="fgAcc1" presStyleIdx="5" presStyleCnt="6" custScaleX="102045" custScaleY="175143" custLinFactNeighborX="6791" custLinFactNeighborY="24388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FCE7F87B-9F38-4E4A-8A27-DFC8E68DAE3B}" type="pres">
      <dgm:prSet presAssocID="{813C887E-0FD3-4EF5-8CAB-34223F2FCC0A}" presName="rootConnector" presStyleLbl="node2" presStyleIdx="0" presStyleCnt="0"/>
      <dgm:spPr/>
      <dgm:t>
        <a:bodyPr/>
        <a:lstStyle/>
        <a:p>
          <a:endParaRPr lang="en-US"/>
        </a:p>
      </dgm:t>
    </dgm:pt>
    <dgm:pt modelId="{1CDAE4E0-0805-47D8-96F3-C939B0E9587D}" type="pres">
      <dgm:prSet presAssocID="{813C887E-0FD3-4EF5-8CAB-34223F2FCC0A}" presName="hierChild4" presStyleCnt="0"/>
      <dgm:spPr/>
    </dgm:pt>
    <dgm:pt modelId="{9893DDB3-632F-4828-B172-2F65211A52A9}" type="pres">
      <dgm:prSet presAssocID="{813C887E-0FD3-4EF5-8CAB-34223F2FCC0A}" presName="hierChild5" presStyleCnt="0"/>
      <dgm:spPr/>
    </dgm:pt>
    <dgm:pt modelId="{3C7F109D-11D0-478C-9B09-FF51B940BDFA}" type="pres">
      <dgm:prSet presAssocID="{8BE0F5CA-21DF-40C7-9BE5-866907E7299C}" presName="hierChild3" presStyleCnt="0"/>
      <dgm:spPr/>
    </dgm:pt>
    <dgm:pt modelId="{12BF03E0-E4ED-4C27-8CDE-47F43D536E54}" type="pres">
      <dgm:prSet presAssocID="{8BC8BF10-95B5-46EB-87C8-98D1E08FA2FC}" presName="Name96" presStyleLbl="parChTrans1D2" presStyleIdx="6" presStyleCnt="16"/>
      <dgm:spPr/>
      <dgm:t>
        <a:bodyPr/>
        <a:lstStyle/>
        <a:p>
          <a:endParaRPr lang="en-US"/>
        </a:p>
      </dgm:t>
    </dgm:pt>
    <dgm:pt modelId="{624838E2-3738-4307-8510-0220CFC5314E}" type="pres">
      <dgm:prSet presAssocID="{6B6E46D7-3013-4271-BC08-D4BB604B9278}" presName="hierRoot3" presStyleCnt="0">
        <dgm:presLayoutVars>
          <dgm:hierBranch val="init"/>
        </dgm:presLayoutVars>
      </dgm:prSet>
      <dgm:spPr/>
    </dgm:pt>
    <dgm:pt modelId="{632D63EB-05CA-4C0B-B442-D62B30008733}" type="pres">
      <dgm:prSet presAssocID="{6B6E46D7-3013-4271-BC08-D4BB604B9278}" presName="rootComposite3" presStyleCnt="0"/>
      <dgm:spPr/>
    </dgm:pt>
    <dgm:pt modelId="{86E28284-176D-4A62-AE91-9053E5013AA3}" type="pres">
      <dgm:prSet presAssocID="{6B6E46D7-3013-4271-BC08-D4BB604B9278}" presName="rootText3" presStyleLbl="asst1" presStyleIdx="0" presStyleCnt="10" custScaleX="137659" custScaleY="114082" custLinFactNeighborX="-89481" custLinFactNeighborY="-2661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45646B25-7368-4492-ABDD-11E737465DAA}" type="pres">
      <dgm:prSet presAssocID="{6B6E46D7-3013-4271-BC08-D4BB604B9278}" presName="titleText3" presStyleLbl="fgAcc2" presStyleIdx="0" presStyleCnt="10" custScaleX="157162" custScaleY="255897" custLinFactX="-44808" custLinFactNeighborX="-100000" custLinFactNeighborY="8930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3377E04-4481-4217-9217-C9B6A5A883C4}" type="pres">
      <dgm:prSet presAssocID="{6B6E46D7-3013-4271-BC08-D4BB604B9278}" presName="rootConnector3" presStyleLbl="asst1" presStyleIdx="0" presStyleCnt="10"/>
      <dgm:spPr/>
      <dgm:t>
        <a:bodyPr/>
        <a:lstStyle/>
        <a:p>
          <a:endParaRPr lang="en-US"/>
        </a:p>
      </dgm:t>
    </dgm:pt>
    <dgm:pt modelId="{C16D6E42-97ED-4F48-9D05-49E9241D210D}" type="pres">
      <dgm:prSet presAssocID="{6B6E46D7-3013-4271-BC08-D4BB604B9278}" presName="hierChild6" presStyleCnt="0"/>
      <dgm:spPr/>
    </dgm:pt>
    <dgm:pt modelId="{8149F35C-302E-408A-A577-122B53C010BB}" type="pres">
      <dgm:prSet presAssocID="{6B6E46D7-3013-4271-BC08-D4BB604B9278}" presName="hierChild7" presStyleCnt="0"/>
      <dgm:spPr/>
    </dgm:pt>
    <dgm:pt modelId="{2BF8EC33-C17E-43F3-B1C3-41535A4237D9}" type="pres">
      <dgm:prSet presAssocID="{95DFA020-5E8B-419B-AD43-D38A90B5D04B}" presName="Name96" presStyleLbl="parChTrans1D2" presStyleIdx="7" presStyleCnt="16"/>
      <dgm:spPr/>
      <dgm:t>
        <a:bodyPr/>
        <a:lstStyle/>
        <a:p>
          <a:endParaRPr lang="en-US"/>
        </a:p>
      </dgm:t>
    </dgm:pt>
    <dgm:pt modelId="{AE033ACD-5837-460F-B67C-F5AA137FCB27}" type="pres">
      <dgm:prSet presAssocID="{1B8F97E9-92C4-4A4A-B9A4-3C1F22DA1755}" presName="hierRoot3" presStyleCnt="0">
        <dgm:presLayoutVars>
          <dgm:hierBranch val="init"/>
        </dgm:presLayoutVars>
      </dgm:prSet>
      <dgm:spPr/>
    </dgm:pt>
    <dgm:pt modelId="{32E6DE44-EE8C-471F-A729-C25E1D33B5E1}" type="pres">
      <dgm:prSet presAssocID="{1B8F97E9-92C4-4A4A-B9A4-3C1F22DA1755}" presName="rootComposite3" presStyleCnt="0"/>
      <dgm:spPr/>
    </dgm:pt>
    <dgm:pt modelId="{12D35E45-9BD6-482F-B38D-44D297E754D0}" type="pres">
      <dgm:prSet presAssocID="{1B8F97E9-92C4-4A4A-B9A4-3C1F22DA1755}" presName="rootText3" presStyleLbl="asst1" presStyleIdx="1" presStyleCnt="10" custScaleX="121894" custLinFactX="90" custLinFactNeighborX="100000" custLinFactNeighborY="-3789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4F75951-F648-450E-B7EA-305F47B2A94C}" type="pres">
      <dgm:prSet presAssocID="{1B8F97E9-92C4-4A4A-B9A4-3C1F22DA1755}" presName="titleText3" presStyleLbl="fgAcc2" presStyleIdx="1" presStyleCnt="10" custScaleX="138725" custScaleY="199191" custLinFactX="27515" custLinFactNeighborX="100000" custLinFactNeighborY="52828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6A4E5013-0295-456D-967A-16E88DDAB7CF}" type="pres">
      <dgm:prSet presAssocID="{1B8F97E9-92C4-4A4A-B9A4-3C1F22DA1755}" presName="rootConnector3" presStyleLbl="asst1" presStyleIdx="1" presStyleCnt="10"/>
      <dgm:spPr/>
      <dgm:t>
        <a:bodyPr/>
        <a:lstStyle/>
        <a:p>
          <a:endParaRPr lang="en-US"/>
        </a:p>
      </dgm:t>
    </dgm:pt>
    <dgm:pt modelId="{DF9322BF-1043-44CF-922C-A949F812059D}" type="pres">
      <dgm:prSet presAssocID="{1B8F97E9-92C4-4A4A-B9A4-3C1F22DA1755}" presName="hierChild6" presStyleCnt="0"/>
      <dgm:spPr/>
    </dgm:pt>
    <dgm:pt modelId="{8937D717-92B7-493D-B6F0-6247BB9DF1CE}" type="pres">
      <dgm:prSet presAssocID="{1B8F97E9-92C4-4A4A-B9A4-3C1F22DA1755}" presName="hierChild7" presStyleCnt="0"/>
      <dgm:spPr/>
    </dgm:pt>
    <dgm:pt modelId="{EF2EC534-044D-4A67-AA0C-4B6702A2F405}" type="pres">
      <dgm:prSet presAssocID="{A44D0972-6D2A-4086-9D38-B96E9057E2FD}" presName="Name96" presStyleLbl="parChTrans1D2" presStyleIdx="8" presStyleCnt="16"/>
      <dgm:spPr/>
      <dgm:t>
        <a:bodyPr/>
        <a:lstStyle/>
        <a:p>
          <a:endParaRPr lang="en-US"/>
        </a:p>
      </dgm:t>
    </dgm:pt>
    <dgm:pt modelId="{268926A5-4ED5-4FED-A442-8A87250DF73E}" type="pres">
      <dgm:prSet presAssocID="{A16E363A-DD5A-4FB1-8525-BD5BF0986396}" presName="hierRoot3" presStyleCnt="0">
        <dgm:presLayoutVars>
          <dgm:hierBranch val="init"/>
        </dgm:presLayoutVars>
      </dgm:prSet>
      <dgm:spPr/>
    </dgm:pt>
    <dgm:pt modelId="{9731EF15-29B5-4D80-A9C7-0B28B1D50CFC}" type="pres">
      <dgm:prSet presAssocID="{A16E363A-DD5A-4FB1-8525-BD5BF0986396}" presName="rootComposite3" presStyleCnt="0"/>
      <dgm:spPr/>
    </dgm:pt>
    <dgm:pt modelId="{54C5C5FB-8264-413B-A39E-25534E05343D}" type="pres">
      <dgm:prSet presAssocID="{A16E363A-DD5A-4FB1-8525-BD5BF0986396}" presName="rootText3" presStyleLbl="asst1" presStyleIdx="2" presStyleCnt="10" custScaleX="110309" custLinFactNeighborX="-71601" custLinFactNeighborY="-21270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9DD29793-8872-44E0-91E4-02CA010A50C9}" type="pres">
      <dgm:prSet presAssocID="{A16E363A-DD5A-4FB1-8525-BD5BF0986396}" presName="titleText3" presStyleLbl="fgAcc2" presStyleIdx="2" presStyleCnt="10" custScaleX="139273" custScaleY="201078" custLinFactX="-56800" custLinFactNeighborX="-100000" custLinFactNeighborY="-31774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7D7BEB24-17AB-467A-B38B-72976B79EF74}" type="pres">
      <dgm:prSet presAssocID="{A16E363A-DD5A-4FB1-8525-BD5BF0986396}" presName="rootConnector3" presStyleLbl="asst1" presStyleIdx="2" presStyleCnt="10"/>
      <dgm:spPr/>
      <dgm:t>
        <a:bodyPr/>
        <a:lstStyle/>
        <a:p>
          <a:endParaRPr lang="en-US"/>
        </a:p>
      </dgm:t>
    </dgm:pt>
    <dgm:pt modelId="{0A712E67-5C69-4E2E-96EE-CBDF0BCFFD8F}" type="pres">
      <dgm:prSet presAssocID="{A16E363A-DD5A-4FB1-8525-BD5BF0986396}" presName="hierChild6" presStyleCnt="0"/>
      <dgm:spPr/>
    </dgm:pt>
    <dgm:pt modelId="{C8CBD3AE-FDBC-4C80-8EF2-D2789DDA2B5D}" type="pres">
      <dgm:prSet presAssocID="{A16E363A-DD5A-4FB1-8525-BD5BF0986396}" presName="hierChild7" presStyleCnt="0"/>
      <dgm:spPr/>
    </dgm:pt>
    <dgm:pt modelId="{4B9F9A20-7A64-4A02-B67F-0661D114365C}" type="pres">
      <dgm:prSet presAssocID="{043AFB48-7A73-4A53-8F73-5E6B9C5F3628}" presName="Name96" presStyleLbl="parChTrans1D2" presStyleIdx="9" presStyleCnt="16"/>
      <dgm:spPr/>
      <dgm:t>
        <a:bodyPr/>
        <a:lstStyle/>
        <a:p>
          <a:endParaRPr lang="en-US"/>
        </a:p>
      </dgm:t>
    </dgm:pt>
    <dgm:pt modelId="{9FEC58C5-81C9-4337-94F3-471B32F1F645}" type="pres">
      <dgm:prSet presAssocID="{3FF27086-4C50-473A-AD71-15A0BD1164EA}" presName="hierRoot3" presStyleCnt="0">
        <dgm:presLayoutVars>
          <dgm:hierBranch val="init"/>
        </dgm:presLayoutVars>
      </dgm:prSet>
      <dgm:spPr/>
    </dgm:pt>
    <dgm:pt modelId="{EA147C56-3230-4898-9369-46A56079C39A}" type="pres">
      <dgm:prSet presAssocID="{3FF27086-4C50-473A-AD71-15A0BD1164EA}" presName="rootComposite3" presStyleCnt="0"/>
      <dgm:spPr/>
    </dgm:pt>
    <dgm:pt modelId="{9D238047-A39B-43E6-A3AC-20D89389D1FC}" type="pres">
      <dgm:prSet presAssocID="{3FF27086-4C50-473A-AD71-15A0BD1164EA}" presName="rootText3" presStyleLbl="asst1" presStyleIdx="3" presStyleCnt="10" custScaleX="120400" custLinFactNeighborX="82390" custLinFactNeighborY="-13261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7A47B9BB-D871-4CDF-B391-1AB6D6AFDD03}" type="pres">
      <dgm:prSet presAssocID="{3FF27086-4C50-473A-AD71-15A0BD1164EA}" presName="titleText3" presStyleLbl="fgAcc2" presStyleIdx="3" presStyleCnt="10" custScaleX="130435" custScaleY="167986" custLinFactX="25255" custLinFactNeighborX="100000" custLinFactNeighborY="14875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F4E2816-BF6E-44F0-96EA-EE4937DABE17}" type="pres">
      <dgm:prSet presAssocID="{3FF27086-4C50-473A-AD71-15A0BD1164EA}" presName="rootConnector3" presStyleLbl="asst1" presStyleIdx="3" presStyleCnt="10"/>
      <dgm:spPr/>
      <dgm:t>
        <a:bodyPr/>
        <a:lstStyle/>
        <a:p>
          <a:endParaRPr lang="en-US"/>
        </a:p>
      </dgm:t>
    </dgm:pt>
    <dgm:pt modelId="{83045EAE-B3CB-45F6-AC7B-1F78E4759A6A}" type="pres">
      <dgm:prSet presAssocID="{3FF27086-4C50-473A-AD71-15A0BD1164EA}" presName="hierChild6" presStyleCnt="0"/>
      <dgm:spPr/>
    </dgm:pt>
    <dgm:pt modelId="{066A7CC9-4E96-49F5-9E9D-6436A6BC67A9}" type="pres">
      <dgm:prSet presAssocID="{3FF27086-4C50-473A-AD71-15A0BD1164EA}" presName="hierChild7" presStyleCnt="0"/>
      <dgm:spPr/>
    </dgm:pt>
    <dgm:pt modelId="{75F79943-D489-4034-A78F-5FCAB8421BF2}" type="pres">
      <dgm:prSet presAssocID="{E8F3E66D-9ECF-4CFF-BCE0-03862C253836}" presName="Name96" presStyleLbl="parChTrans1D2" presStyleIdx="10" presStyleCnt="16"/>
      <dgm:spPr/>
      <dgm:t>
        <a:bodyPr/>
        <a:lstStyle/>
        <a:p>
          <a:endParaRPr lang="en-US"/>
        </a:p>
      </dgm:t>
    </dgm:pt>
    <dgm:pt modelId="{E9C199FD-09F3-4563-A90E-FF7DBF483A31}" type="pres">
      <dgm:prSet presAssocID="{81FDDC4A-8E5A-47BA-B0C5-5458174A7EC9}" presName="hierRoot3" presStyleCnt="0">
        <dgm:presLayoutVars>
          <dgm:hierBranch val="init"/>
        </dgm:presLayoutVars>
      </dgm:prSet>
      <dgm:spPr/>
    </dgm:pt>
    <dgm:pt modelId="{B5F41993-E5F2-4B86-8D68-EC2022C358A4}" type="pres">
      <dgm:prSet presAssocID="{81FDDC4A-8E5A-47BA-B0C5-5458174A7EC9}" presName="rootComposite3" presStyleCnt="0"/>
      <dgm:spPr/>
    </dgm:pt>
    <dgm:pt modelId="{7432605C-9A27-4292-BA29-7F0864E91529}" type="pres">
      <dgm:prSet presAssocID="{81FDDC4A-8E5A-47BA-B0C5-5458174A7EC9}" presName="rootText3" presStyleLbl="asst1" presStyleIdx="4" presStyleCnt="10" custScaleX="148044" custLinFactNeighborX="-51620" custLinFactNeighborY="-1931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8B28792-93A2-4735-9B77-AFCFE2015FDB}" type="pres">
      <dgm:prSet presAssocID="{81FDDC4A-8E5A-47BA-B0C5-5458174A7EC9}" presName="titleText3" presStyleLbl="fgAcc2" presStyleIdx="4" presStyleCnt="10" custScaleX="114653" custScaleY="202163" custLinFactX="-44994" custLinFactNeighborX="-100000" custLinFactNeighborY="-11684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93A6FF22-5354-438A-B136-FA19A497F6D9}" type="pres">
      <dgm:prSet presAssocID="{81FDDC4A-8E5A-47BA-B0C5-5458174A7EC9}" presName="rootConnector3" presStyleLbl="asst1" presStyleIdx="4" presStyleCnt="10"/>
      <dgm:spPr/>
      <dgm:t>
        <a:bodyPr/>
        <a:lstStyle/>
        <a:p>
          <a:endParaRPr lang="en-US"/>
        </a:p>
      </dgm:t>
    </dgm:pt>
    <dgm:pt modelId="{B5104BAA-547A-47F8-A2EB-1C9460101BBC}" type="pres">
      <dgm:prSet presAssocID="{81FDDC4A-8E5A-47BA-B0C5-5458174A7EC9}" presName="hierChild6" presStyleCnt="0"/>
      <dgm:spPr/>
    </dgm:pt>
    <dgm:pt modelId="{FEAF67BE-0CFA-4288-ADB5-0A102C897C3F}" type="pres">
      <dgm:prSet presAssocID="{81FDDC4A-8E5A-47BA-B0C5-5458174A7EC9}" presName="hierChild7" presStyleCnt="0"/>
      <dgm:spPr/>
    </dgm:pt>
    <dgm:pt modelId="{1BF86D8B-2AC6-4A22-B527-CD5B5C69A36C}" type="pres">
      <dgm:prSet presAssocID="{90AFA71B-97B0-4C87-9C27-DA7093B33C96}" presName="Name96" presStyleLbl="parChTrans1D2" presStyleIdx="11" presStyleCnt="16"/>
      <dgm:spPr/>
      <dgm:t>
        <a:bodyPr/>
        <a:lstStyle/>
        <a:p>
          <a:endParaRPr lang="en-US"/>
        </a:p>
      </dgm:t>
    </dgm:pt>
    <dgm:pt modelId="{C1E5F321-E23F-4B1D-B3CD-E7FFDA99483D}" type="pres">
      <dgm:prSet presAssocID="{1C10B364-7914-4267-82C1-045A077EBA71}" presName="hierRoot3" presStyleCnt="0">
        <dgm:presLayoutVars>
          <dgm:hierBranch val="init"/>
        </dgm:presLayoutVars>
      </dgm:prSet>
      <dgm:spPr/>
    </dgm:pt>
    <dgm:pt modelId="{BAA22FB9-F49B-4C8C-9580-84DFF76F434F}" type="pres">
      <dgm:prSet presAssocID="{1C10B364-7914-4267-82C1-045A077EBA71}" presName="rootComposite3" presStyleCnt="0"/>
      <dgm:spPr/>
    </dgm:pt>
    <dgm:pt modelId="{52C89124-AF7A-43EC-9C1D-EB754E30E8A3}" type="pres">
      <dgm:prSet presAssocID="{1C10B364-7914-4267-82C1-045A077EBA71}" presName="rootText3" presStyleLbl="asst1" presStyleIdx="5" presStyleCnt="10" custScaleX="112034" custScaleY="102556" custLinFactNeighborX="53946" custLinFactNeighborY="-3789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DAA8A4B5-7338-4173-B5A5-E5A4840DF8BC}" type="pres">
      <dgm:prSet presAssocID="{1C10B364-7914-4267-82C1-045A077EBA71}" presName="titleText3" presStyleLbl="fgAcc2" presStyleIdx="5" presStyleCnt="10" custScaleX="147511" custScaleY="174715" custLinFactX="15227" custLinFactNeighborX="100000" custLinFactNeighborY="7842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6FD915F7-C000-4526-984B-D29DE5951936}" type="pres">
      <dgm:prSet presAssocID="{1C10B364-7914-4267-82C1-045A077EBA71}" presName="rootConnector3" presStyleLbl="asst1" presStyleIdx="5" presStyleCnt="10"/>
      <dgm:spPr/>
      <dgm:t>
        <a:bodyPr/>
        <a:lstStyle/>
        <a:p>
          <a:endParaRPr lang="en-US"/>
        </a:p>
      </dgm:t>
    </dgm:pt>
    <dgm:pt modelId="{53295C13-A39F-46DA-8B43-ECC94BA7A6D4}" type="pres">
      <dgm:prSet presAssocID="{1C10B364-7914-4267-82C1-045A077EBA71}" presName="hierChild6" presStyleCnt="0"/>
      <dgm:spPr/>
    </dgm:pt>
    <dgm:pt modelId="{0D97CF36-01CC-43C1-B411-EC8B41A4B610}" type="pres">
      <dgm:prSet presAssocID="{1C10B364-7914-4267-82C1-045A077EBA71}" presName="hierChild7" presStyleCnt="0"/>
      <dgm:spPr/>
    </dgm:pt>
    <dgm:pt modelId="{2B23E7E4-A0FC-4374-BF19-D29962707AAB}" type="pres">
      <dgm:prSet presAssocID="{7A2F3698-6080-4053-89E8-320852AB80EF}" presName="Name96" presStyleLbl="parChTrans1D2" presStyleIdx="12" presStyleCnt="16"/>
      <dgm:spPr/>
      <dgm:t>
        <a:bodyPr/>
        <a:lstStyle/>
        <a:p>
          <a:endParaRPr lang="en-US"/>
        </a:p>
      </dgm:t>
    </dgm:pt>
    <dgm:pt modelId="{7A56B07A-8A72-40CE-91F3-AFBCCD307A7E}" type="pres">
      <dgm:prSet presAssocID="{6A361075-2343-40D5-A2FD-1BEC4803076D}" presName="hierRoot3" presStyleCnt="0">
        <dgm:presLayoutVars>
          <dgm:hierBranch val="init"/>
        </dgm:presLayoutVars>
      </dgm:prSet>
      <dgm:spPr/>
    </dgm:pt>
    <dgm:pt modelId="{F7FC0F49-AF87-40C3-828C-DB5018DC0F5D}" type="pres">
      <dgm:prSet presAssocID="{6A361075-2343-40D5-A2FD-1BEC4803076D}" presName="rootComposite3" presStyleCnt="0"/>
      <dgm:spPr/>
    </dgm:pt>
    <dgm:pt modelId="{ACCFC87C-CDA4-4658-B955-A3392BB37DF6}" type="pres">
      <dgm:prSet presAssocID="{6A361075-2343-40D5-A2FD-1BEC4803076D}" presName="rootText3" presStyleLbl="asst1" presStyleIdx="6" presStyleCnt="10" custLinFactNeighborX="-22588" custLinFactNeighborY="-34238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B548A99A-27AE-40BC-9B17-093ECC5F10B1}" type="pres">
      <dgm:prSet presAssocID="{6A361075-2343-40D5-A2FD-1BEC4803076D}" presName="titleText3" presStyleLbl="fgAcc2" presStyleIdx="6" presStyleCnt="10" custScaleX="139492" custScaleY="194386" custLinFactNeighborX="-81597" custLinFactNeighborY="-14361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23A6B1D-D22F-4CB1-BDD3-BFEA046000C5}" type="pres">
      <dgm:prSet presAssocID="{6A361075-2343-40D5-A2FD-1BEC4803076D}" presName="rootConnector3" presStyleLbl="asst1" presStyleIdx="6" presStyleCnt="10"/>
      <dgm:spPr/>
      <dgm:t>
        <a:bodyPr/>
        <a:lstStyle/>
        <a:p>
          <a:endParaRPr lang="en-US"/>
        </a:p>
      </dgm:t>
    </dgm:pt>
    <dgm:pt modelId="{CA5136DD-464D-459D-B489-4ADBA115300D}" type="pres">
      <dgm:prSet presAssocID="{6A361075-2343-40D5-A2FD-1BEC4803076D}" presName="hierChild6" presStyleCnt="0"/>
      <dgm:spPr/>
    </dgm:pt>
    <dgm:pt modelId="{8393789A-517F-496A-9CAF-02FCAD7A46D0}" type="pres">
      <dgm:prSet presAssocID="{6A361075-2343-40D5-A2FD-1BEC4803076D}" presName="hierChild7" presStyleCnt="0"/>
      <dgm:spPr/>
    </dgm:pt>
    <dgm:pt modelId="{3A8E5F64-5D90-4701-BF7B-364A94B47DFE}" type="pres">
      <dgm:prSet presAssocID="{F4DB5274-4EA7-4CDF-BC65-D03260DC08E6}" presName="Name96" presStyleLbl="parChTrans1D2" presStyleIdx="13" presStyleCnt="16"/>
      <dgm:spPr/>
      <dgm:t>
        <a:bodyPr/>
        <a:lstStyle/>
        <a:p>
          <a:endParaRPr lang="en-US"/>
        </a:p>
      </dgm:t>
    </dgm:pt>
    <dgm:pt modelId="{2F750B7C-F8E2-48C6-873A-49C05607A540}" type="pres">
      <dgm:prSet presAssocID="{EF25E135-A303-42F4-ADA9-71FE7BEC9C26}" presName="hierRoot3" presStyleCnt="0">
        <dgm:presLayoutVars>
          <dgm:hierBranch val="init"/>
        </dgm:presLayoutVars>
      </dgm:prSet>
      <dgm:spPr/>
    </dgm:pt>
    <dgm:pt modelId="{3BC77E30-E8FB-46E8-8450-02AD7CFB028F}" type="pres">
      <dgm:prSet presAssocID="{EF25E135-A303-42F4-ADA9-71FE7BEC9C26}" presName="rootComposite3" presStyleCnt="0"/>
      <dgm:spPr/>
    </dgm:pt>
    <dgm:pt modelId="{BD04ABAB-CA97-40AA-9F13-A1C451B4E37F}" type="pres">
      <dgm:prSet presAssocID="{EF25E135-A303-42F4-ADA9-71FE7BEC9C26}" presName="rootText3" presStyleLbl="asst1" presStyleIdx="7" presStyleCnt="10" custLinFactNeighborX="60273" custLinFactNeighborY="168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6FF95067-2DD2-4B6F-8BA9-0A0E9A342F0D}" type="pres">
      <dgm:prSet presAssocID="{EF25E135-A303-42F4-ADA9-71FE7BEC9C26}" presName="titleText3" presStyleLbl="fgAcc2" presStyleIdx="7" presStyleCnt="10" custScaleX="131432" custScaleY="227771" custLinFactX="15333" custLinFactNeighborX="100000" custLinFactNeighborY="2666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3B7CACB-507A-429B-8166-6ED921F31CED}" type="pres">
      <dgm:prSet presAssocID="{EF25E135-A303-42F4-ADA9-71FE7BEC9C26}" presName="rootConnector3" presStyleLbl="asst1" presStyleIdx="7" presStyleCnt="10"/>
      <dgm:spPr/>
      <dgm:t>
        <a:bodyPr/>
        <a:lstStyle/>
        <a:p>
          <a:endParaRPr lang="en-US"/>
        </a:p>
      </dgm:t>
    </dgm:pt>
    <dgm:pt modelId="{983795EB-9151-40F9-8CFD-0AA0F627D4DA}" type="pres">
      <dgm:prSet presAssocID="{EF25E135-A303-42F4-ADA9-71FE7BEC9C26}" presName="hierChild6" presStyleCnt="0"/>
      <dgm:spPr/>
    </dgm:pt>
    <dgm:pt modelId="{B22DC80D-B1CF-4CED-AF20-8040E4401F41}" type="pres">
      <dgm:prSet presAssocID="{EF25E135-A303-42F4-ADA9-71FE7BEC9C26}" presName="hierChild7" presStyleCnt="0"/>
      <dgm:spPr/>
    </dgm:pt>
    <dgm:pt modelId="{B6E6713F-C7A6-4F80-AF85-BB84908DCB4A}" type="pres">
      <dgm:prSet presAssocID="{B6BDCD99-6CE2-4A1A-A26D-680113FD19EE}" presName="Name96" presStyleLbl="parChTrans1D2" presStyleIdx="14" presStyleCnt="16"/>
      <dgm:spPr/>
      <dgm:t>
        <a:bodyPr/>
        <a:lstStyle/>
        <a:p>
          <a:endParaRPr lang="en-US"/>
        </a:p>
      </dgm:t>
    </dgm:pt>
    <dgm:pt modelId="{F1A956D0-D596-47D1-A398-30572A5CF0AE}" type="pres">
      <dgm:prSet presAssocID="{C96326C4-D172-4319-A501-568D2D2661BB}" presName="hierRoot3" presStyleCnt="0">
        <dgm:presLayoutVars>
          <dgm:hierBranch val="init"/>
        </dgm:presLayoutVars>
      </dgm:prSet>
      <dgm:spPr/>
    </dgm:pt>
    <dgm:pt modelId="{9EC0C185-7158-4287-AA05-EA2FD137AA50}" type="pres">
      <dgm:prSet presAssocID="{C96326C4-D172-4319-A501-568D2D2661BB}" presName="rootComposite3" presStyleCnt="0"/>
      <dgm:spPr/>
    </dgm:pt>
    <dgm:pt modelId="{34D7311B-CC41-4749-B268-AF290B8D4BAC}" type="pres">
      <dgm:prSet presAssocID="{C96326C4-D172-4319-A501-568D2D2661BB}" presName="rootText3" presStyleLbl="asst1" presStyleIdx="8" presStyleCnt="10" custLinFactNeighborX="-906" custLinFactNeighborY="-22739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EDCBF6F4-AED4-403F-B120-59B649834959}" type="pres">
      <dgm:prSet presAssocID="{C96326C4-D172-4319-A501-568D2D2661BB}" presName="titleText3" presStyleLbl="fgAcc2" presStyleIdx="8" presStyleCnt="10" custScaleX="109126" custScaleY="135361" custLinFactNeighborX="-59406" custLinFactNeighborY="-57794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E438F3B-22BF-47DA-B71C-160F2A3D3AAA}" type="pres">
      <dgm:prSet presAssocID="{C96326C4-D172-4319-A501-568D2D2661BB}" presName="rootConnector3" presStyleLbl="asst1" presStyleIdx="8" presStyleCnt="10"/>
      <dgm:spPr/>
      <dgm:t>
        <a:bodyPr/>
        <a:lstStyle/>
        <a:p>
          <a:endParaRPr lang="en-US"/>
        </a:p>
      </dgm:t>
    </dgm:pt>
    <dgm:pt modelId="{A2E01D00-E710-4310-A814-EE2F096B89DC}" type="pres">
      <dgm:prSet presAssocID="{C96326C4-D172-4319-A501-568D2D2661BB}" presName="hierChild6" presStyleCnt="0"/>
      <dgm:spPr/>
    </dgm:pt>
    <dgm:pt modelId="{2241863B-EB89-42BA-8A65-160B6F4FEEC3}" type="pres">
      <dgm:prSet presAssocID="{C96326C4-D172-4319-A501-568D2D2661BB}" presName="hierChild7" presStyleCnt="0"/>
      <dgm:spPr/>
    </dgm:pt>
    <dgm:pt modelId="{4D83B0D4-9BAE-4DF6-9111-277DF8911F5A}" type="pres">
      <dgm:prSet presAssocID="{0B864457-446C-438B-836C-DD1F34FEDC74}" presName="Name96" presStyleLbl="parChTrans1D2" presStyleIdx="15" presStyleCnt="16"/>
      <dgm:spPr/>
      <dgm:t>
        <a:bodyPr/>
        <a:lstStyle/>
        <a:p>
          <a:endParaRPr lang="en-US"/>
        </a:p>
      </dgm:t>
    </dgm:pt>
    <dgm:pt modelId="{ADA64F2E-FBDB-47E8-A05B-233AFAE55B35}" type="pres">
      <dgm:prSet presAssocID="{8CADCE41-7324-4E48-B3E2-1578474C2884}" presName="hierRoot3" presStyleCnt="0">
        <dgm:presLayoutVars>
          <dgm:hierBranch val="init"/>
        </dgm:presLayoutVars>
      </dgm:prSet>
      <dgm:spPr/>
    </dgm:pt>
    <dgm:pt modelId="{AFE49FD6-9BDC-4011-8E5D-F79377E77365}" type="pres">
      <dgm:prSet presAssocID="{8CADCE41-7324-4E48-B3E2-1578474C2884}" presName="rootComposite3" presStyleCnt="0"/>
      <dgm:spPr/>
    </dgm:pt>
    <dgm:pt modelId="{4173AF82-9A93-410B-802B-0296AE7B7EC0}" type="pres">
      <dgm:prSet presAssocID="{8CADCE41-7324-4E48-B3E2-1578474C2884}" presName="rootText3" presStyleLbl="asst1" presStyleIdx="9" presStyleCnt="10" custLinFactNeighborX="4528" custLinFactNeighborY="-1749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8627A5A1-7B55-42EE-8DA0-56F702F58712}" type="pres">
      <dgm:prSet presAssocID="{8CADCE41-7324-4E48-B3E2-1578474C2884}" presName="titleText3" presStyleLbl="fgAcc2" presStyleIdx="9" presStyleCnt="10" custScaleX="97877" custScaleY="154176" custLinFactNeighborX="31194" custLinFactNeighborY="-15742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9ADB903E-97C8-4D0A-A430-A75BBA153487}" type="pres">
      <dgm:prSet presAssocID="{8CADCE41-7324-4E48-B3E2-1578474C2884}" presName="rootConnector3" presStyleLbl="asst1" presStyleIdx="9" presStyleCnt="10"/>
      <dgm:spPr/>
      <dgm:t>
        <a:bodyPr/>
        <a:lstStyle/>
        <a:p>
          <a:endParaRPr lang="en-US"/>
        </a:p>
      </dgm:t>
    </dgm:pt>
    <dgm:pt modelId="{F7EAB948-B9D5-452F-881E-203272D0F07E}" type="pres">
      <dgm:prSet presAssocID="{8CADCE41-7324-4E48-B3E2-1578474C2884}" presName="hierChild6" presStyleCnt="0"/>
      <dgm:spPr/>
    </dgm:pt>
    <dgm:pt modelId="{301A6B92-9B5D-4B09-8DA2-D191E312A997}" type="pres">
      <dgm:prSet presAssocID="{8CADCE41-7324-4E48-B3E2-1578474C2884}" presName="hierChild7" presStyleCnt="0"/>
      <dgm:spPr/>
    </dgm:pt>
  </dgm:ptLst>
  <dgm:cxnLst>
    <dgm:cxn modelId="{55354618-EEEB-497F-AC57-EFAB3BA225A0}" type="presOf" srcId="{1C10B364-7914-4267-82C1-045A077EBA71}" destId="{6FD915F7-C000-4526-984B-D29DE5951936}" srcOrd="1" destOrd="0" presId="urn:microsoft.com/office/officeart/2008/layout/NameandTitleOrganizationalChart"/>
    <dgm:cxn modelId="{7EE91CD7-AF24-4F2F-8E27-EC944F53523F}" type="presOf" srcId="{0617769D-71BE-463A-9956-227A8A5387E3}" destId="{FB7E6179-5444-4F54-A603-5BD60AF03186}" srcOrd="0" destOrd="0" presId="urn:microsoft.com/office/officeart/2008/layout/NameandTitleOrganizationalChart"/>
    <dgm:cxn modelId="{5F49B3C6-058B-4C5B-8214-4C11EE8F7A09}" type="presOf" srcId="{8D613488-C0CD-4294-B15A-7FB241C1AA03}" destId="{0CB7280F-4F5C-4CBC-8974-61EB70C4DE39}" srcOrd="1" destOrd="0" presId="urn:microsoft.com/office/officeart/2008/layout/NameandTitleOrganizationalChart"/>
    <dgm:cxn modelId="{4715A720-71C9-4B0D-8451-3B4ED0C8E6C1}" type="presOf" srcId="{08D1EA6A-CA3E-48C0-94FB-C316C3A175A1}" destId="{F17541B0-CBFB-4A95-A348-1581D16163CA}" srcOrd="0" destOrd="0" presId="urn:microsoft.com/office/officeart/2008/layout/NameandTitleOrganizationalChart"/>
    <dgm:cxn modelId="{CFD4C602-3BBB-42A7-8A6E-7F906916EFA6}" type="presOf" srcId="{1B8F97E9-92C4-4A4A-B9A4-3C1F22DA1755}" destId="{6A4E5013-0295-456D-967A-16E88DDAB7CF}" srcOrd="1" destOrd="0" presId="urn:microsoft.com/office/officeart/2008/layout/NameandTitleOrganizationalChart"/>
    <dgm:cxn modelId="{C508404B-DDFF-4D37-808C-E7F7806014B1}" type="presOf" srcId="{90AFA71B-97B0-4C87-9C27-DA7093B33C96}" destId="{1BF86D8B-2AC6-4A22-B527-CD5B5C69A36C}" srcOrd="0" destOrd="0" presId="urn:microsoft.com/office/officeart/2008/layout/NameandTitleOrganizationalChart"/>
    <dgm:cxn modelId="{DDF28A27-1BD4-4EA4-8ADA-A64FF563A1A7}" srcId="{8BE0F5CA-21DF-40C7-9BE5-866907E7299C}" destId="{EF25E135-A303-42F4-ADA9-71FE7BEC9C26}" srcOrd="7" destOrd="0" parTransId="{F4DB5274-4EA7-4CDF-BC65-D03260DC08E6}" sibTransId="{6196C123-A2D5-409D-88DE-73F07D78FA59}"/>
    <dgm:cxn modelId="{8D4EAC42-26F7-4685-AB5E-BCC47D6E1D56}" type="presOf" srcId="{8CADCE41-7324-4E48-B3E2-1578474C2884}" destId="{9ADB903E-97C8-4D0A-A430-A75BBA153487}" srcOrd="1" destOrd="0" presId="urn:microsoft.com/office/officeart/2008/layout/NameandTitleOrganizationalChart"/>
    <dgm:cxn modelId="{B1CF3E3B-2810-4208-8C5E-091E031DA4BF}" type="presOf" srcId="{B6BDCD99-6CE2-4A1A-A26D-680113FD19EE}" destId="{B6E6713F-C7A6-4F80-AF85-BB84908DCB4A}" srcOrd="0" destOrd="0" presId="urn:microsoft.com/office/officeart/2008/layout/NameandTitleOrganizationalChart"/>
    <dgm:cxn modelId="{C84B4BDD-CF7B-4310-A8C5-7F5B5768B944}" type="presOf" srcId="{89CE9876-578B-4E8E-94C2-F060524CA42C}" destId="{B548A99A-27AE-40BC-9B17-093ECC5F10B1}" srcOrd="0" destOrd="0" presId="urn:microsoft.com/office/officeart/2008/layout/NameandTitleOrganizationalChart"/>
    <dgm:cxn modelId="{C52CFCA2-C493-4E50-8C67-660E71EECF17}" type="presOf" srcId="{C96326C4-D172-4319-A501-568D2D2661BB}" destId="{3E438F3B-22BF-47DA-B71C-160F2A3D3AAA}" srcOrd="1" destOrd="0" presId="urn:microsoft.com/office/officeart/2008/layout/NameandTitleOrganizationalChart"/>
    <dgm:cxn modelId="{14E72156-F2B3-4DB5-AF5D-E431FF8CB922}" type="presOf" srcId="{215E8264-4416-4513-8C3B-89611F6F00B4}" destId="{E6F158CD-290D-4233-9399-11BD215625EB}" srcOrd="0" destOrd="0" presId="urn:microsoft.com/office/officeart/2008/layout/NameandTitleOrganizationalChart"/>
    <dgm:cxn modelId="{525E7449-D5F4-4931-B90B-D2083156AB30}" type="presOf" srcId="{8BE0F5CA-21DF-40C7-9BE5-866907E7299C}" destId="{4DFCA23F-EF05-459C-842C-0A60A49E27F2}" srcOrd="0" destOrd="0" presId="urn:microsoft.com/office/officeart/2008/layout/NameandTitleOrganizationalChart"/>
    <dgm:cxn modelId="{50FF72D8-3447-4AC4-8048-5BBDD602F6C3}" type="presOf" srcId="{81FDDC4A-8E5A-47BA-B0C5-5458174A7EC9}" destId="{93A6FF22-5354-438A-B136-FA19A497F6D9}" srcOrd="1" destOrd="0" presId="urn:microsoft.com/office/officeart/2008/layout/NameandTitleOrganizationalChart"/>
    <dgm:cxn modelId="{52905934-8790-4393-BF26-FA0A0F2CEAB7}" type="presOf" srcId="{9463AB3F-CA7C-4CE1-A25B-0FC28DD61CB5}" destId="{F7DF5899-0ECD-435B-A7BA-5E89EC87F067}" srcOrd="0" destOrd="0" presId="urn:microsoft.com/office/officeart/2008/layout/NameandTitleOrganizationalChart"/>
    <dgm:cxn modelId="{A0C1A5A4-D345-4E79-B2A2-12DED37CC26C}" type="presOf" srcId="{6B6E46D7-3013-4271-BC08-D4BB604B9278}" destId="{33377E04-4481-4217-9217-C9B6A5A883C4}" srcOrd="1" destOrd="0" presId="urn:microsoft.com/office/officeart/2008/layout/NameandTitleOrganizationalChart"/>
    <dgm:cxn modelId="{5C7D916C-3362-421A-8B55-45C403A3DBC8}" type="presOf" srcId="{D993217B-6F66-45D8-A771-1EC4FE10C93A}" destId="{0F2CEDD1-D2CA-402B-9E27-E75DCA31C96E}" srcOrd="0" destOrd="0" presId="urn:microsoft.com/office/officeart/2008/layout/NameandTitleOrganizationalChart"/>
    <dgm:cxn modelId="{CBF9A00E-5C4D-4B56-8C91-7A5FF96DC82A}" srcId="{8BE0F5CA-21DF-40C7-9BE5-866907E7299C}" destId="{6B6E46D7-3013-4271-BC08-D4BB604B9278}" srcOrd="0" destOrd="0" parTransId="{8BC8BF10-95B5-46EB-87C8-98D1E08FA2FC}" sibTransId="{89EF56CF-79F4-4307-92A6-D70538B50C30}"/>
    <dgm:cxn modelId="{8E9CF713-3DA2-4453-8E24-582600F2D59E}" type="presOf" srcId="{C31BC545-AB52-444C-B037-3983626FEBBA}" destId="{24F75951-F648-450E-B7EA-305F47B2A94C}" srcOrd="0" destOrd="0" presId="urn:microsoft.com/office/officeart/2008/layout/NameandTitleOrganizationalChart"/>
    <dgm:cxn modelId="{A318E421-3408-4981-9ADD-9014DA9E5237}" type="presOf" srcId="{6B6E46D7-3013-4271-BC08-D4BB604B9278}" destId="{86E28284-176D-4A62-AE91-9053E5013AA3}" srcOrd="0" destOrd="0" presId="urn:microsoft.com/office/officeart/2008/layout/NameandTitleOrganizationalChart"/>
    <dgm:cxn modelId="{EF08E6D4-496C-4E54-8421-705CDD151D17}" type="presOf" srcId="{7A2E5924-404B-41CB-9ED7-B247E46F8CCA}" destId="{492844D7-DB35-4BCC-A4A6-A1F071747576}" srcOrd="0" destOrd="0" presId="urn:microsoft.com/office/officeart/2008/layout/NameandTitleOrganizationalChart"/>
    <dgm:cxn modelId="{2CB3E955-5811-468A-8F9D-3783127B45B4}" type="presOf" srcId="{95DFA020-5E8B-419B-AD43-D38A90B5D04B}" destId="{2BF8EC33-C17E-43F3-B1C3-41535A4237D9}" srcOrd="0" destOrd="0" presId="urn:microsoft.com/office/officeart/2008/layout/NameandTitleOrganizationalChart"/>
    <dgm:cxn modelId="{A8A255C3-CA5A-4EB5-BE20-C4BA1FEBBCB4}" type="presOf" srcId="{0B864457-446C-438B-836C-DD1F34FEDC74}" destId="{4D83B0D4-9BAE-4DF6-9111-277DF8911F5A}" srcOrd="0" destOrd="0" presId="urn:microsoft.com/office/officeart/2008/layout/NameandTitleOrganizationalChart"/>
    <dgm:cxn modelId="{5E9CCBB8-FE64-4037-AF70-18038C4C3BA6}" srcId="{8BE0F5CA-21DF-40C7-9BE5-866907E7299C}" destId="{7E655FF3-85E4-456D-B1BC-FDE06CD4A3FA}" srcOrd="12" destOrd="0" parTransId="{6F80826F-D584-4FFC-AFB1-0C1DF0D87A27}" sibTransId="{AD49CBE6-FC53-4FFA-8BB2-1102F35B32C8}"/>
    <dgm:cxn modelId="{596DB5DB-E2E9-48C3-87C5-BDC09A9B8397}" type="presOf" srcId="{7E655FF3-85E4-456D-B1BC-FDE06CD4A3FA}" destId="{48EDB2D1-DD22-4D31-8963-57368E51D850}" srcOrd="1" destOrd="0" presId="urn:microsoft.com/office/officeart/2008/layout/NameandTitleOrganizationalChart"/>
    <dgm:cxn modelId="{6881702B-F6CF-4812-9287-936E17258253}" type="presOf" srcId="{12982D95-0FA8-4B6E-9003-2F13D57C67B0}" destId="{FF123924-7C18-40CD-8914-649056F0176D}" srcOrd="0" destOrd="0" presId="urn:microsoft.com/office/officeart/2008/layout/NameandTitleOrganizationalChart"/>
    <dgm:cxn modelId="{466B0F8B-1E0C-48A4-BBC7-DA462EBCA150}" type="presOf" srcId="{AD49CBE6-FC53-4FFA-8BB2-1102F35B32C8}" destId="{6982F8CA-73DB-47A0-94BB-7D6478D38255}" srcOrd="0" destOrd="0" presId="urn:microsoft.com/office/officeart/2008/layout/NameandTitleOrganizationalChart"/>
    <dgm:cxn modelId="{608305EB-22DD-47C5-AB1B-7EC7179CD039}" type="presOf" srcId="{1B8F97E9-92C4-4A4A-B9A4-3C1F22DA1755}" destId="{12D35E45-9BD6-482F-B38D-44D297E754D0}" srcOrd="0" destOrd="0" presId="urn:microsoft.com/office/officeart/2008/layout/NameandTitleOrganizationalChart"/>
    <dgm:cxn modelId="{B4BB95C3-99F5-4A33-8D46-270826E9BF23}" type="presOf" srcId="{6A361075-2343-40D5-A2FD-1BEC4803076D}" destId="{823A6B1D-D22F-4CB1-BDD3-BFEA046000C5}" srcOrd="1" destOrd="0" presId="urn:microsoft.com/office/officeart/2008/layout/NameandTitleOrganizationalChart"/>
    <dgm:cxn modelId="{6F038602-5429-4E2E-9294-B0D447FB2A76}" srcId="{8BE0F5CA-21DF-40C7-9BE5-866907E7299C}" destId="{BD321F02-34A7-476D-ADEE-AAB6C2FECA8A}" srcOrd="13" destOrd="0" parTransId="{AFB8CA10-764C-4DF9-BE8F-F1340F3C3AE7}" sibTransId="{08D1EA6A-CA3E-48C0-94FB-C316C3A175A1}"/>
    <dgm:cxn modelId="{79A2968A-C508-424C-9573-E42EECFDF8E8}" srcId="{8BE0F5CA-21DF-40C7-9BE5-866907E7299C}" destId="{3FF27086-4C50-473A-AD71-15A0BD1164EA}" srcOrd="3" destOrd="0" parTransId="{043AFB48-7A73-4A53-8F73-5E6B9C5F3628}" sibTransId="{910D079D-6F56-4622-A7BA-CCA19989783C}"/>
    <dgm:cxn modelId="{89307544-1117-46D8-AE01-0A9CFB3A7FEA}" type="presOf" srcId="{416C0B47-B6E8-4BAA-9A7F-2FAAE524D485}" destId="{28B28792-93A2-4735-9B77-AFCFE2015FDB}" srcOrd="0" destOrd="0" presId="urn:microsoft.com/office/officeart/2008/layout/NameandTitleOrganizationalChart"/>
    <dgm:cxn modelId="{4FD2149D-E0B9-4BE9-9C29-1EF1B178FE53}" type="presOf" srcId="{D684B25D-4EBA-4BAC-BA07-4DB6A4B3C97E}" destId="{EDCBF6F4-AED4-403F-B120-59B649834959}" srcOrd="0" destOrd="0" presId="urn:microsoft.com/office/officeart/2008/layout/NameandTitleOrganizationalChart"/>
    <dgm:cxn modelId="{324AF6F4-B621-41B8-8DA0-F9F2345B1029}" type="presOf" srcId="{7A2F3698-6080-4053-89E8-320852AB80EF}" destId="{2B23E7E4-A0FC-4374-BF19-D29962707AAB}" srcOrd="0" destOrd="0" presId="urn:microsoft.com/office/officeart/2008/layout/NameandTitleOrganizationalChart"/>
    <dgm:cxn modelId="{B0D792D1-D2B0-4297-9B75-41542D0AE102}" type="presOf" srcId="{910D079D-6F56-4622-A7BA-CCA19989783C}" destId="{7A47B9BB-D871-4CDF-B391-1AB6D6AFDD03}" srcOrd="0" destOrd="0" presId="urn:microsoft.com/office/officeart/2008/layout/NameandTitleOrganizationalChart"/>
    <dgm:cxn modelId="{38A4564E-6273-4579-A29E-AAF73A7E8911}" type="presOf" srcId="{1CC45168-F94D-42A5-9688-7D5D600EF84B}" destId="{B69FF003-8683-4965-B417-B1623594531C}" srcOrd="0" destOrd="0" presId="urn:microsoft.com/office/officeart/2008/layout/NameandTitleOrganizationalChart"/>
    <dgm:cxn modelId="{C359BE3C-0671-426F-9945-1DC8E96DBAE5}" srcId="{8BE0F5CA-21DF-40C7-9BE5-866907E7299C}" destId="{6A361075-2343-40D5-A2FD-1BEC4803076D}" srcOrd="6" destOrd="0" parTransId="{7A2F3698-6080-4053-89E8-320852AB80EF}" sibTransId="{89CE9876-578B-4E8E-94C2-F060524CA42C}"/>
    <dgm:cxn modelId="{F63AC92F-47DD-4D0A-94C9-971695950918}" type="presOf" srcId="{E9ECF3BA-ED22-4918-BA1A-4963A8243DA5}" destId="{0C86490C-6BE3-41D3-ACAC-18B9EA50800C}" srcOrd="1" destOrd="0" presId="urn:microsoft.com/office/officeart/2008/layout/NameandTitleOrganizationalChart"/>
    <dgm:cxn modelId="{054453C4-884C-4520-A24D-0531CB55B6D3}" type="presOf" srcId="{1C49306B-CA59-4C92-A1E0-7EE8BFA5AD25}" destId="{3E18832E-EF3D-4479-9E05-E9B78E8B91AA}" srcOrd="1" destOrd="0" presId="urn:microsoft.com/office/officeart/2008/layout/NameandTitleOrganizationalChart"/>
    <dgm:cxn modelId="{BA3B1936-8EBE-4031-973B-07BB98D312E0}" srcId="{8BE0F5CA-21DF-40C7-9BE5-866907E7299C}" destId="{1C10B364-7914-4267-82C1-045A077EBA71}" srcOrd="5" destOrd="0" parTransId="{90AFA71B-97B0-4C87-9C27-DA7093B33C96}" sibTransId="{3AA05422-93FF-4C7E-8208-698B9CF801B4}"/>
    <dgm:cxn modelId="{8DD37374-FB36-448B-8997-931AEDFB8C9D}" type="presOf" srcId="{89EF56CF-79F4-4307-92A6-D70538B50C30}" destId="{45646B25-7368-4492-ABDD-11E737465DAA}" srcOrd="0" destOrd="0" presId="urn:microsoft.com/office/officeart/2008/layout/NameandTitleOrganizationalChart"/>
    <dgm:cxn modelId="{41F34622-AD2C-460B-88AA-791784689DF6}" type="presOf" srcId="{8CADCE41-7324-4E48-B3E2-1578474C2884}" destId="{4173AF82-9A93-410B-802B-0296AE7B7EC0}" srcOrd="0" destOrd="0" presId="urn:microsoft.com/office/officeart/2008/layout/NameandTitleOrganizationalChart"/>
    <dgm:cxn modelId="{AF45E910-151C-420E-A101-1608459CB6F4}" type="presOf" srcId="{813C887E-0FD3-4EF5-8CAB-34223F2FCC0A}" destId="{4EAFC1F3-ECC7-44E1-B1EE-5432A2CF3FD0}" srcOrd="0" destOrd="0" presId="urn:microsoft.com/office/officeart/2008/layout/NameandTitleOrganizationalChart"/>
    <dgm:cxn modelId="{1AB46F50-2820-46D0-B0CB-8F60E02C74C8}" srcId="{8BE0F5CA-21DF-40C7-9BE5-866907E7299C}" destId="{8D613488-C0CD-4294-B15A-7FB241C1AA03}" srcOrd="14" destOrd="0" parTransId="{99B8AD55-F97D-4773-A33B-D2FA40902210}" sibTransId="{9463AB3F-CA7C-4CE1-A25B-0FC28DD61CB5}"/>
    <dgm:cxn modelId="{331782EF-CD53-4A3F-9A37-99494826FA3E}" type="presOf" srcId="{99B8AD55-F97D-4773-A33B-D2FA40902210}" destId="{81BCD3BF-598E-4AEA-835C-B2C619D509D7}" srcOrd="0" destOrd="0" presId="urn:microsoft.com/office/officeart/2008/layout/NameandTitleOrganizationalChart"/>
    <dgm:cxn modelId="{4C6A808D-BC10-4BA9-90B4-4CCEDF599560}" srcId="{8BE0F5CA-21DF-40C7-9BE5-866907E7299C}" destId="{813C887E-0FD3-4EF5-8CAB-34223F2FCC0A}" srcOrd="15" destOrd="0" parTransId="{7A2E5924-404B-41CB-9ED7-B247E46F8CCA}" sibTransId="{D4281154-10FB-47B0-80E4-86F7E91DD8FF}"/>
    <dgm:cxn modelId="{E2A6C4BC-F19C-464E-A0EE-64EF331AB1BB}" type="presOf" srcId="{AFB8CA10-764C-4DF9-BE8F-F1340F3C3AE7}" destId="{B435E124-487F-4DE7-860C-EEC54876A7CA}" srcOrd="0" destOrd="0" presId="urn:microsoft.com/office/officeart/2008/layout/NameandTitleOrganizationalChart"/>
    <dgm:cxn modelId="{610C73AE-6B5E-4C02-B207-1B75624AD744}" type="presOf" srcId="{E8F3E66D-9ECF-4CFF-BCE0-03862C253836}" destId="{75F79943-D489-4034-A78F-5FCAB8421BF2}" srcOrd="0" destOrd="0" presId="urn:microsoft.com/office/officeart/2008/layout/NameandTitleOrganizationalChart"/>
    <dgm:cxn modelId="{2FCC0541-2A77-4DB8-80A3-D43744782552}" type="presOf" srcId="{043AFB48-7A73-4A53-8F73-5E6B9C5F3628}" destId="{4B9F9A20-7A64-4A02-B67F-0661D114365C}" srcOrd="0" destOrd="0" presId="urn:microsoft.com/office/officeart/2008/layout/NameandTitleOrganizationalChart"/>
    <dgm:cxn modelId="{B1AAA429-DC7A-461F-9D35-A0D781D72F60}" type="presOf" srcId="{1C49306B-CA59-4C92-A1E0-7EE8BFA5AD25}" destId="{ABFDD524-1E42-4D71-988F-32F4B5745A54}" srcOrd="0" destOrd="0" presId="urn:microsoft.com/office/officeart/2008/layout/NameandTitleOrganizationalChart"/>
    <dgm:cxn modelId="{18FBD0E1-18B2-456E-8A0E-A84F287E7D92}" type="presOf" srcId="{3AA05422-93FF-4C7E-8208-698B9CF801B4}" destId="{DAA8A4B5-7338-4173-B5A5-E5A4840DF8BC}" srcOrd="0" destOrd="0" presId="urn:microsoft.com/office/officeart/2008/layout/NameandTitleOrganizationalChart"/>
    <dgm:cxn modelId="{E9502DF9-EFB8-4CB3-8C8A-858950889770}" type="presOf" srcId="{3FF27086-4C50-473A-AD71-15A0BD1164EA}" destId="{9D238047-A39B-43E6-A3AC-20D89389D1FC}" srcOrd="0" destOrd="0" presId="urn:microsoft.com/office/officeart/2008/layout/NameandTitleOrganizationalChart"/>
    <dgm:cxn modelId="{8F9686C1-362E-4BA8-BC11-79800D903183}" type="presOf" srcId="{BD321F02-34A7-476D-ADEE-AAB6C2FECA8A}" destId="{AD546BC2-B9AB-457D-8915-3507A8820DD0}" srcOrd="1" destOrd="0" presId="urn:microsoft.com/office/officeart/2008/layout/NameandTitleOrganizationalChart"/>
    <dgm:cxn modelId="{8B6F0DBA-87CB-483C-AF54-4C47887324C6}" srcId="{8BE0F5CA-21DF-40C7-9BE5-866907E7299C}" destId="{1C49306B-CA59-4C92-A1E0-7EE8BFA5AD25}" srcOrd="11" destOrd="0" parTransId="{1CC45168-F94D-42A5-9688-7D5D600EF84B}" sibTransId="{0617769D-71BE-463A-9956-227A8A5387E3}"/>
    <dgm:cxn modelId="{0504C752-872E-4DAD-A896-65A0993DD460}" srcId="{8BE0F5CA-21DF-40C7-9BE5-866907E7299C}" destId="{1B8F97E9-92C4-4A4A-B9A4-3C1F22DA1755}" srcOrd="1" destOrd="0" parTransId="{95DFA020-5E8B-419B-AD43-D38A90B5D04B}" sibTransId="{C31BC545-AB52-444C-B037-3983626FEBBA}"/>
    <dgm:cxn modelId="{4E054F5A-9D40-4D52-9EF3-82CC2E4D0988}" srcId="{8BE0F5CA-21DF-40C7-9BE5-866907E7299C}" destId="{81FDDC4A-8E5A-47BA-B0C5-5458174A7EC9}" srcOrd="4" destOrd="0" parTransId="{E8F3E66D-9ECF-4CFF-BCE0-03862C253836}" sibTransId="{416C0B47-B6E8-4BAA-9A7F-2FAAE524D485}"/>
    <dgm:cxn modelId="{325776B2-A3C5-492B-B156-0DFE5B1EDF98}" type="presOf" srcId="{A16E363A-DD5A-4FB1-8525-BD5BF0986396}" destId="{7D7BEB24-17AB-467A-B38B-72976B79EF74}" srcOrd="1" destOrd="0" presId="urn:microsoft.com/office/officeart/2008/layout/NameandTitleOrganizationalChart"/>
    <dgm:cxn modelId="{C3B356B1-CB16-4B6C-BE90-403D9EFA9D4E}" type="presOf" srcId="{E9ECF3BA-ED22-4918-BA1A-4963A8243DA5}" destId="{529D0C0D-E28E-4DBA-B7A7-59B56E7E09F2}" srcOrd="0" destOrd="0" presId="urn:microsoft.com/office/officeart/2008/layout/NameandTitleOrganizationalChart"/>
    <dgm:cxn modelId="{D9DE4B76-CD42-4B70-8633-DD6918022EF0}" type="presOf" srcId="{8BC8BF10-95B5-46EB-87C8-98D1E08FA2FC}" destId="{12BF03E0-E4ED-4C27-8CDE-47F43D536E54}" srcOrd="0" destOrd="0" presId="urn:microsoft.com/office/officeart/2008/layout/NameandTitleOrganizationalChart"/>
    <dgm:cxn modelId="{E140B8FE-E96E-4534-B37A-B579B0D08ECD}" srcId="{12982D95-0FA8-4B6E-9003-2F13D57C67B0}" destId="{8BE0F5CA-21DF-40C7-9BE5-866907E7299C}" srcOrd="0" destOrd="0" parTransId="{18768C3E-5289-40FA-BE88-06C5238B9CBB}" sibTransId="{D993217B-6F66-45D8-A771-1EC4FE10C93A}"/>
    <dgm:cxn modelId="{08BD9E77-D1AE-42BE-A4E1-60E07FDFF05F}" srcId="{8BE0F5CA-21DF-40C7-9BE5-866907E7299C}" destId="{A16E363A-DD5A-4FB1-8525-BD5BF0986396}" srcOrd="2" destOrd="0" parTransId="{A44D0972-6D2A-4086-9D38-B96E9057E2FD}" sibTransId="{8473E639-1FED-4365-BD14-4310CDBA790E}"/>
    <dgm:cxn modelId="{1727B573-2AAF-462F-A5A3-BDF40C9AA015}" type="presOf" srcId="{81FDDC4A-8E5A-47BA-B0C5-5458174A7EC9}" destId="{7432605C-9A27-4292-BA29-7F0864E91529}" srcOrd="0" destOrd="0" presId="urn:microsoft.com/office/officeart/2008/layout/NameandTitleOrganizationalChart"/>
    <dgm:cxn modelId="{0438BD03-F599-4322-9717-AE5E1E37F19E}" type="presOf" srcId="{C96326C4-D172-4319-A501-568D2D2661BB}" destId="{34D7311B-CC41-4749-B268-AF290B8D4BAC}" srcOrd="0" destOrd="0" presId="urn:microsoft.com/office/officeart/2008/layout/NameandTitleOrganizationalChart"/>
    <dgm:cxn modelId="{ADA85AA3-F117-4822-AB61-BA18C2BA0882}" type="presOf" srcId="{F4DB5274-4EA7-4CDF-BC65-D03260DC08E6}" destId="{3A8E5F64-5D90-4701-BF7B-364A94B47DFE}" srcOrd="0" destOrd="0" presId="urn:microsoft.com/office/officeart/2008/layout/NameandTitleOrganizationalChart"/>
    <dgm:cxn modelId="{7967CCBF-A559-4009-B704-7D4B1F672A8A}" type="presOf" srcId="{813C887E-0FD3-4EF5-8CAB-34223F2FCC0A}" destId="{FCE7F87B-9F38-4E4A-8A27-DFC8E68DAE3B}" srcOrd="1" destOrd="0" presId="urn:microsoft.com/office/officeart/2008/layout/NameandTitleOrganizationalChart"/>
    <dgm:cxn modelId="{974D66BC-DD50-43DD-B331-CD73D9A6920C}" type="presOf" srcId="{A16E363A-DD5A-4FB1-8525-BD5BF0986396}" destId="{54C5C5FB-8264-413B-A39E-25534E05343D}" srcOrd="0" destOrd="0" presId="urn:microsoft.com/office/officeart/2008/layout/NameandTitleOrganizationalChart"/>
    <dgm:cxn modelId="{17FB44A6-D57D-4601-B53A-17EECD64D7BD}" type="presOf" srcId="{D4281154-10FB-47B0-80E4-86F7E91DD8FF}" destId="{48898B29-D62D-4413-8A72-FD1916680838}" srcOrd="0" destOrd="0" presId="urn:microsoft.com/office/officeart/2008/layout/NameandTitleOrganizationalChart"/>
    <dgm:cxn modelId="{2BFEA3CD-CC76-47E8-BD64-DA6F822C38B8}" type="presOf" srcId="{2B2613C9-8CFF-473C-B72A-1BBAF937629A}" destId="{7B713139-EA38-4293-AD86-72948EB53F6B}" srcOrd="0" destOrd="0" presId="urn:microsoft.com/office/officeart/2008/layout/NameandTitleOrganizationalChart"/>
    <dgm:cxn modelId="{DCB76592-8DD0-4D4E-8C9D-731D4DA1F131}" type="presOf" srcId="{4ECD14F2-ED63-4481-958E-4F08C3BD4AA2}" destId="{8627A5A1-7B55-42EE-8DA0-56F702F58712}" srcOrd="0" destOrd="0" presId="urn:microsoft.com/office/officeart/2008/layout/NameandTitleOrganizationalChart"/>
    <dgm:cxn modelId="{D3459468-3D3D-4A8D-A061-08C544642B30}" type="presOf" srcId="{6196C123-A2D5-409D-88DE-73F07D78FA59}" destId="{6FF95067-2DD2-4B6F-8BA9-0A0E9A342F0D}" srcOrd="0" destOrd="0" presId="urn:microsoft.com/office/officeart/2008/layout/NameandTitleOrganizationalChart"/>
    <dgm:cxn modelId="{03E6AC05-26C6-40D2-9EA0-B6CF9E6371E4}" type="presOf" srcId="{6F80826F-D584-4FFC-AFB1-0C1DF0D87A27}" destId="{4B0D0867-2076-489B-8C96-92B14623A05E}" srcOrd="0" destOrd="0" presId="urn:microsoft.com/office/officeart/2008/layout/NameandTitleOrganizationalChart"/>
    <dgm:cxn modelId="{4A9C1D8E-8A30-4B48-9FDC-61EE019353C8}" type="presOf" srcId="{3FF27086-4C50-473A-AD71-15A0BD1164EA}" destId="{8F4E2816-BF6E-44F0-96EA-EE4937DABE17}" srcOrd="1" destOrd="0" presId="urn:microsoft.com/office/officeart/2008/layout/NameandTitleOrganizationalChart"/>
    <dgm:cxn modelId="{838683FE-A197-47EC-9B58-7272DA573A3F}" srcId="{8BE0F5CA-21DF-40C7-9BE5-866907E7299C}" destId="{C96326C4-D172-4319-A501-568D2D2661BB}" srcOrd="8" destOrd="0" parTransId="{B6BDCD99-6CE2-4A1A-A26D-680113FD19EE}" sibTransId="{D684B25D-4EBA-4BAC-BA07-4DB6A4B3C97E}"/>
    <dgm:cxn modelId="{A35305F6-5527-41F3-B210-BE42E5172859}" srcId="{8BE0F5CA-21DF-40C7-9BE5-866907E7299C}" destId="{E9ECF3BA-ED22-4918-BA1A-4963A8243DA5}" srcOrd="10" destOrd="0" parTransId="{2B2613C9-8CFF-473C-B72A-1BBAF937629A}" sibTransId="{215E8264-4416-4513-8C3B-89611F6F00B4}"/>
    <dgm:cxn modelId="{9374A317-FE4E-43D4-AE34-E6B67020528E}" type="presOf" srcId="{7E655FF3-85E4-456D-B1BC-FDE06CD4A3FA}" destId="{B156287E-6BE4-416F-849C-7237BA4EECB4}" srcOrd="0" destOrd="0" presId="urn:microsoft.com/office/officeart/2008/layout/NameandTitleOrganizationalChart"/>
    <dgm:cxn modelId="{D8B363E9-A028-4A26-AEAD-BAF6DCDEA966}" type="presOf" srcId="{8473E639-1FED-4365-BD14-4310CDBA790E}" destId="{9DD29793-8872-44E0-91E4-02CA010A50C9}" srcOrd="0" destOrd="0" presId="urn:microsoft.com/office/officeart/2008/layout/NameandTitleOrganizationalChart"/>
    <dgm:cxn modelId="{ABECDD2E-E677-4CEE-877B-1399F818916A}" type="presOf" srcId="{EF25E135-A303-42F4-ADA9-71FE7BEC9C26}" destId="{BD04ABAB-CA97-40AA-9F13-A1C451B4E37F}" srcOrd="0" destOrd="0" presId="urn:microsoft.com/office/officeart/2008/layout/NameandTitleOrganizationalChart"/>
    <dgm:cxn modelId="{5B899759-BCA3-4FB4-81C8-F00602207045}" type="presOf" srcId="{BD321F02-34A7-476D-ADEE-AAB6C2FECA8A}" destId="{D5A2C886-8171-4317-B83A-C4234EAEDCD7}" srcOrd="0" destOrd="0" presId="urn:microsoft.com/office/officeart/2008/layout/NameandTitleOrganizationalChart"/>
    <dgm:cxn modelId="{738FF7A3-3A2B-4C9A-9161-41152A833E23}" type="presOf" srcId="{6A361075-2343-40D5-A2FD-1BEC4803076D}" destId="{ACCFC87C-CDA4-4658-B955-A3392BB37DF6}" srcOrd="0" destOrd="0" presId="urn:microsoft.com/office/officeart/2008/layout/NameandTitleOrganizationalChart"/>
    <dgm:cxn modelId="{1CC00F3F-A081-4674-A3EC-7687F949688E}" type="presOf" srcId="{8BE0F5CA-21DF-40C7-9BE5-866907E7299C}" destId="{C41E7381-D9A4-425A-B01E-C31A5CEFBF30}" srcOrd="1" destOrd="0" presId="urn:microsoft.com/office/officeart/2008/layout/NameandTitleOrganizationalChart"/>
    <dgm:cxn modelId="{836A19A9-77F1-4C9C-9E62-913E824D5AFD}" type="presOf" srcId="{A44D0972-6D2A-4086-9D38-B96E9057E2FD}" destId="{EF2EC534-044D-4A67-AA0C-4B6702A2F405}" srcOrd="0" destOrd="0" presId="urn:microsoft.com/office/officeart/2008/layout/NameandTitleOrganizationalChart"/>
    <dgm:cxn modelId="{F0000014-B829-437B-B837-9BD85A99B718}" type="presOf" srcId="{8D613488-C0CD-4294-B15A-7FB241C1AA03}" destId="{61D81E75-B8A3-4C4A-8659-736C3FF1EAFB}" srcOrd="0" destOrd="0" presId="urn:microsoft.com/office/officeart/2008/layout/NameandTitleOrganizationalChart"/>
    <dgm:cxn modelId="{F50BFE9C-83ED-4CDE-B44F-A96DD5725576}" type="presOf" srcId="{EF25E135-A303-42F4-ADA9-71FE7BEC9C26}" destId="{53B7CACB-507A-429B-8166-6ED921F31CED}" srcOrd="1" destOrd="0" presId="urn:microsoft.com/office/officeart/2008/layout/NameandTitleOrganizationalChart"/>
    <dgm:cxn modelId="{BA9359D1-CCA7-416D-B592-B8B12D60BEBE}" type="presOf" srcId="{1C10B364-7914-4267-82C1-045A077EBA71}" destId="{52C89124-AF7A-43EC-9C1D-EB754E30E8A3}" srcOrd="0" destOrd="0" presId="urn:microsoft.com/office/officeart/2008/layout/NameandTitleOrganizationalChart"/>
    <dgm:cxn modelId="{B173CAF3-4957-4556-804E-5CB7B82F984C}" srcId="{8BE0F5CA-21DF-40C7-9BE5-866907E7299C}" destId="{8CADCE41-7324-4E48-B3E2-1578474C2884}" srcOrd="9" destOrd="0" parTransId="{0B864457-446C-438B-836C-DD1F34FEDC74}" sibTransId="{4ECD14F2-ED63-4481-958E-4F08C3BD4AA2}"/>
    <dgm:cxn modelId="{BB54F716-1AF7-4FC6-8D85-84B573805E5B}" type="presParOf" srcId="{FF123924-7C18-40CD-8914-649056F0176D}" destId="{2AA3FA3B-F919-4BE1-B921-5C005A4F4760}" srcOrd="0" destOrd="0" presId="urn:microsoft.com/office/officeart/2008/layout/NameandTitleOrganizationalChart"/>
    <dgm:cxn modelId="{E2222278-937B-43A1-A562-C45F812A8BBB}" type="presParOf" srcId="{2AA3FA3B-F919-4BE1-B921-5C005A4F4760}" destId="{8B17D9C9-7B08-46E0-83BA-438082C2AD7C}" srcOrd="0" destOrd="0" presId="urn:microsoft.com/office/officeart/2008/layout/NameandTitleOrganizationalChart"/>
    <dgm:cxn modelId="{103A3052-4FAB-4514-9EE3-054C0FCB266C}" type="presParOf" srcId="{8B17D9C9-7B08-46E0-83BA-438082C2AD7C}" destId="{4DFCA23F-EF05-459C-842C-0A60A49E27F2}" srcOrd="0" destOrd="0" presId="urn:microsoft.com/office/officeart/2008/layout/NameandTitleOrganizationalChart"/>
    <dgm:cxn modelId="{CB48CD81-686C-407E-8316-56A7678BDAE3}" type="presParOf" srcId="{8B17D9C9-7B08-46E0-83BA-438082C2AD7C}" destId="{0F2CEDD1-D2CA-402B-9E27-E75DCA31C96E}" srcOrd="1" destOrd="0" presId="urn:microsoft.com/office/officeart/2008/layout/NameandTitleOrganizationalChart"/>
    <dgm:cxn modelId="{9B1F567F-9B70-4146-ACD5-7FB8E24F84EE}" type="presParOf" srcId="{8B17D9C9-7B08-46E0-83BA-438082C2AD7C}" destId="{C41E7381-D9A4-425A-B01E-C31A5CEFBF30}" srcOrd="2" destOrd="0" presId="urn:microsoft.com/office/officeart/2008/layout/NameandTitleOrganizationalChart"/>
    <dgm:cxn modelId="{16071495-4CCA-4B45-8D4D-6DA747B508B4}" type="presParOf" srcId="{2AA3FA3B-F919-4BE1-B921-5C005A4F4760}" destId="{A501B5B6-FB30-45DD-ADFB-817242CCE690}" srcOrd="1" destOrd="0" presId="urn:microsoft.com/office/officeart/2008/layout/NameandTitleOrganizationalChart"/>
    <dgm:cxn modelId="{6352E0DD-92F2-4DC5-B5F3-70A02C5685C8}" type="presParOf" srcId="{A501B5B6-FB30-45DD-ADFB-817242CCE690}" destId="{7B713139-EA38-4293-AD86-72948EB53F6B}" srcOrd="0" destOrd="0" presId="urn:microsoft.com/office/officeart/2008/layout/NameandTitleOrganizationalChart"/>
    <dgm:cxn modelId="{82A0FB5A-3914-4884-8B20-259C53765A1B}" type="presParOf" srcId="{A501B5B6-FB30-45DD-ADFB-817242CCE690}" destId="{9BDFE5BC-8F11-45C4-952B-D258A977B3D7}" srcOrd="1" destOrd="0" presId="urn:microsoft.com/office/officeart/2008/layout/NameandTitleOrganizationalChart"/>
    <dgm:cxn modelId="{D64BDCF7-7AAF-453D-AB29-31E609E4773C}" type="presParOf" srcId="{9BDFE5BC-8F11-45C4-952B-D258A977B3D7}" destId="{53689F64-D843-418E-84E7-8362807C08DB}" srcOrd="0" destOrd="0" presId="urn:microsoft.com/office/officeart/2008/layout/NameandTitleOrganizationalChart"/>
    <dgm:cxn modelId="{1441238A-4D3D-4B06-9887-64DC7401AC70}" type="presParOf" srcId="{53689F64-D843-418E-84E7-8362807C08DB}" destId="{529D0C0D-E28E-4DBA-B7A7-59B56E7E09F2}" srcOrd="0" destOrd="0" presId="urn:microsoft.com/office/officeart/2008/layout/NameandTitleOrganizationalChart"/>
    <dgm:cxn modelId="{6FD2E500-749B-42CB-97F6-611EBDBDDF0F}" type="presParOf" srcId="{53689F64-D843-418E-84E7-8362807C08DB}" destId="{E6F158CD-290D-4233-9399-11BD215625EB}" srcOrd="1" destOrd="0" presId="urn:microsoft.com/office/officeart/2008/layout/NameandTitleOrganizationalChart"/>
    <dgm:cxn modelId="{D96C4589-65CA-4681-956E-53BF6669D5E4}" type="presParOf" srcId="{53689F64-D843-418E-84E7-8362807C08DB}" destId="{0C86490C-6BE3-41D3-ACAC-18B9EA50800C}" srcOrd="2" destOrd="0" presId="urn:microsoft.com/office/officeart/2008/layout/NameandTitleOrganizationalChart"/>
    <dgm:cxn modelId="{8E310A6D-DECF-48F6-9A65-E18154E053F4}" type="presParOf" srcId="{9BDFE5BC-8F11-45C4-952B-D258A977B3D7}" destId="{A4E54B0D-6533-4B8F-A387-21499CD786BB}" srcOrd="1" destOrd="0" presId="urn:microsoft.com/office/officeart/2008/layout/NameandTitleOrganizationalChart"/>
    <dgm:cxn modelId="{681E9C74-A3FB-4163-94B0-AA7DA71B1493}" type="presParOf" srcId="{9BDFE5BC-8F11-45C4-952B-D258A977B3D7}" destId="{69F172A3-398E-4D8D-88B5-3E58BB8FA3EE}" srcOrd="2" destOrd="0" presId="urn:microsoft.com/office/officeart/2008/layout/NameandTitleOrganizationalChart"/>
    <dgm:cxn modelId="{0A0181AA-631C-4C2A-BB62-FE13F6C51134}" type="presParOf" srcId="{A501B5B6-FB30-45DD-ADFB-817242CCE690}" destId="{B69FF003-8683-4965-B417-B1623594531C}" srcOrd="2" destOrd="0" presId="urn:microsoft.com/office/officeart/2008/layout/NameandTitleOrganizationalChart"/>
    <dgm:cxn modelId="{ED496B7E-54A3-49D3-AE51-B6671B7CF15D}" type="presParOf" srcId="{A501B5B6-FB30-45DD-ADFB-817242CCE690}" destId="{248A43A4-BE92-423F-9A47-16CB75922D2E}" srcOrd="3" destOrd="0" presId="urn:microsoft.com/office/officeart/2008/layout/NameandTitleOrganizationalChart"/>
    <dgm:cxn modelId="{C476EA16-EC6B-440A-B0B7-4099A1615EC0}" type="presParOf" srcId="{248A43A4-BE92-423F-9A47-16CB75922D2E}" destId="{EEF84264-47D2-47CE-BEEF-B596A614A13B}" srcOrd="0" destOrd="0" presId="urn:microsoft.com/office/officeart/2008/layout/NameandTitleOrganizationalChart"/>
    <dgm:cxn modelId="{1F73A388-4E3B-45A2-BBA8-7F5E3CF35B29}" type="presParOf" srcId="{EEF84264-47D2-47CE-BEEF-B596A614A13B}" destId="{ABFDD524-1E42-4D71-988F-32F4B5745A54}" srcOrd="0" destOrd="0" presId="urn:microsoft.com/office/officeart/2008/layout/NameandTitleOrganizationalChart"/>
    <dgm:cxn modelId="{5B59104D-FC2B-495E-A6EF-9CB7ED2A89B2}" type="presParOf" srcId="{EEF84264-47D2-47CE-BEEF-B596A614A13B}" destId="{FB7E6179-5444-4F54-A603-5BD60AF03186}" srcOrd="1" destOrd="0" presId="urn:microsoft.com/office/officeart/2008/layout/NameandTitleOrganizationalChart"/>
    <dgm:cxn modelId="{90E3940C-C5DE-451A-8EF3-B38038787AA3}" type="presParOf" srcId="{EEF84264-47D2-47CE-BEEF-B596A614A13B}" destId="{3E18832E-EF3D-4479-9E05-E9B78E8B91AA}" srcOrd="2" destOrd="0" presId="urn:microsoft.com/office/officeart/2008/layout/NameandTitleOrganizationalChart"/>
    <dgm:cxn modelId="{DABB00F8-0BE8-4D88-A4E4-A0FBA8310FA6}" type="presParOf" srcId="{248A43A4-BE92-423F-9A47-16CB75922D2E}" destId="{86FC5985-DC3E-4D08-ABBB-6953C6C39BAA}" srcOrd="1" destOrd="0" presId="urn:microsoft.com/office/officeart/2008/layout/NameandTitleOrganizationalChart"/>
    <dgm:cxn modelId="{60A1A7BA-4AC2-4CDE-A218-293FAEEFD5AD}" type="presParOf" srcId="{248A43A4-BE92-423F-9A47-16CB75922D2E}" destId="{2C73CCEF-2962-4DA9-B3AC-0E8334C3D234}" srcOrd="2" destOrd="0" presId="urn:microsoft.com/office/officeart/2008/layout/NameandTitleOrganizationalChart"/>
    <dgm:cxn modelId="{F459E678-FFE0-4E67-A7B0-757AC360331E}" type="presParOf" srcId="{A501B5B6-FB30-45DD-ADFB-817242CCE690}" destId="{4B0D0867-2076-489B-8C96-92B14623A05E}" srcOrd="4" destOrd="0" presId="urn:microsoft.com/office/officeart/2008/layout/NameandTitleOrganizationalChart"/>
    <dgm:cxn modelId="{FEB8AA4C-9274-485A-B554-BA66D7483834}" type="presParOf" srcId="{A501B5B6-FB30-45DD-ADFB-817242CCE690}" destId="{E7C5282B-EBF6-4B61-A9BF-844F03FEDA36}" srcOrd="5" destOrd="0" presId="urn:microsoft.com/office/officeart/2008/layout/NameandTitleOrganizationalChart"/>
    <dgm:cxn modelId="{405BFE42-9C61-439A-937C-2239C45FE5EC}" type="presParOf" srcId="{E7C5282B-EBF6-4B61-A9BF-844F03FEDA36}" destId="{B058125D-6D28-4292-A2AB-7053D3BA2EB7}" srcOrd="0" destOrd="0" presId="urn:microsoft.com/office/officeart/2008/layout/NameandTitleOrganizationalChart"/>
    <dgm:cxn modelId="{F093A42D-C3F2-4FB6-99E8-56FD5B07D194}" type="presParOf" srcId="{B058125D-6D28-4292-A2AB-7053D3BA2EB7}" destId="{B156287E-6BE4-416F-849C-7237BA4EECB4}" srcOrd="0" destOrd="0" presId="urn:microsoft.com/office/officeart/2008/layout/NameandTitleOrganizationalChart"/>
    <dgm:cxn modelId="{D0252C20-BC53-43DA-8CF1-6A5995E84800}" type="presParOf" srcId="{B058125D-6D28-4292-A2AB-7053D3BA2EB7}" destId="{6982F8CA-73DB-47A0-94BB-7D6478D38255}" srcOrd="1" destOrd="0" presId="urn:microsoft.com/office/officeart/2008/layout/NameandTitleOrganizationalChart"/>
    <dgm:cxn modelId="{5B7A26BF-4EB2-4482-B766-17E26FE0704B}" type="presParOf" srcId="{B058125D-6D28-4292-A2AB-7053D3BA2EB7}" destId="{48EDB2D1-DD22-4D31-8963-57368E51D850}" srcOrd="2" destOrd="0" presId="urn:microsoft.com/office/officeart/2008/layout/NameandTitleOrganizationalChart"/>
    <dgm:cxn modelId="{BFF63908-5D25-4169-8286-030437B5E52F}" type="presParOf" srcId="{E7C5282B-EBF6-4B61-A9BF-844F03FEDA36}" destId="{79DCBB33-7B69-4933-911D-637EC3DBB8C3}" srcOrd="1" destOrd="0" presId="urn:microsoft.com/office/officeart/2008/layout/NameandTitleOrganizationalChart"/>
    <dgm:cxn modelId="{4DAD1E32-4DEE-48E2-9DCE-B12ABE878CBB}" type="presParOf" srcId="{E7C5282B-EBF6-4B61-A9BF-844F03FEDA36}" destId="{74BFA647-A983-4B57-8DB4-4783FFC839FD}" srcOrd="2" destOrd="0" presId="urn:microsoft.com/office/officeart/2008/layout/NameandTitleOrganizationalChart"/>
    <dgm:cxn modelId="{DCAB9461-B04E-4337-9C06-76BE5823A5B4}" type="presParOf" srcId="{A501B5B6-FB30-45DD-ADFB-817242CCE690}" destId="{B435E124-487F-4DE7-860C-EEC54876A7CA}" srcOrd="6" destOrd="0" presId="urn:microsoft.com/office/officeart/2008/layout/NameandTitleOrganizationalChart"/>
    <dgm:cxn modelId="{CA62C688-7DC7-46BC-81C0-376C2F0F3AA0}" type="presParOf" srcId="{A501B5B6-FB30-45DD-ADFB-817242CCE690}" destId="{B99E0164-44D4-48AF-82DC-DDD875F650F7}" srcOrd="7" destOrd="0" presId="urn:microsoft.com/office/officeart/2008/layout/NameandTitleOrganizationalChart"/>
    <dgm:cxn modelId="{A61F1DEC-8682-4588-8D25-B267717ECABD}" type="presParOf" srcId="{B99E0164-44D4-48AF-82DC-DDD875F650F7}" destId="{580F34B5-706C-4214-99F8-ED95693463CA}" srcOrd="0" destOrd="0" presId="urn:microsoft.com/office/officeart/2008/layout/NameandTitleOrganizationalChart"/>
    <dgm:cxn modelId="{79313186-5333-4534-B3CA-0104185526A7}" type="presParOf" srcId="{580F34B5-706C-4214-99F8-ED95693463CA}" destId="{D5A2C886-8171-4317-B83A-C4234EAEDCD7}" srcOrd="0" destOrd="0" presId="urn:microsoft.com/office/officeart/2008/layout/NameandTitleOrganizationalChart"/>
    <dgm:cxn modelId="{B1F3E34D-8690-415C-B8B8-23D15A1B0FD4}" type="presParOf" srcId="{580F34B5-706C-4214-99F8-ED95693463CA}" destId="{F17541B0-CBFB-4A95-A348-1581D16163CA}" srcOrd="1" destOrd="0" presId="urn:microsoft.com/office/officeart/2008/layout/NameandTitleOrganizationalChart"/>
    <dgm:cxn modelId="{791B191D-59A8-4C84-A9B0-9E3B114ADCE8}" type="presParOf" srcId="{580F34B5-706C-4214-99F8-ED95693463CA}" destId="{AD546BC2-B9AB-457D-8915-3507A8820DD0}" srcOrd="2" destOrd="0" presId="urn:microsoft.com/office/officeart/2008/layout/NameandTitleOrganizationalChart"/>
    <dgm:cxn modelId="{50C7D2E1-F475-421B-8568-36FA20353F3E}" type="presParOf" srcId="{B99E0164-44D4-48AF-82DC-DDD875F650F7}" destId="{13EB832C-7EBF-444B-894B-32C7748B8712}" srcOrd="1" destOrd="0" presId="urn:microsoft.com/office/officeart/2008/layout/NameandTitleOrganizationalChart"/>
    <dgm:cxn modelId="{ACD66438-DD48-4999-9789-E13A6CA4CA07}" type="presParOf" srcId="{B99E0164-44D4-48AF-82DC-DDD875F650F7}" destId="{352FA61A-AA89-48EC-A8A4-A13293C7CB02}" srcOrd="2" destOrd="0" presId="urn:microsoft.com/office/officeart/2008/layout/NameandTitleOrganizationalChart"/>
    <dgm:cxn modelId="{C002301F-9B13-4478-88FB-AB5B6276B6E3}" type="presParOf" srcId="{A501B5B6-FB30-45DD-ADFB-817242CCE690}" destId="{81BCD3BF-598E-4AEA-835C-B2C619D509D7}" srcOrd="8" destOrd="0" presId="urn:microsoft.com/office/officeart/2008/layout/NameandTitleOrganizationalChart"/>
    <dgm:cxn modelId="{294DEC65-1FFF-45B5-A1B4-E31AD92F2288}" type="presParOf" srcId="{A501B5B6-FB30-45DD-ADFB-817242CCE690}" destId="{13B64CC8-0854-45A3-8BD3-41D84ACA0626}" srcOrd="9" destOrd="0" presId="urn:microsoft.com/office/officeart/2008/layout/NameandTitleOrganizationalChart"/>
    <dgm:cxn modelId="{42D0885E-41B9-44E5-882C-F28BC700993F}" type="presParOf" srcId="{13B64CC8-0854-45A3-8BD3-41D84ACA0626}" destId="{2DEF155D-F402-4654-93A6-925A1C450878}" srcOrd="0" destOrd="0" presId="urn:microsoft.com/office/officeart/2008/layout/NameandTitleOrganizationalChart"/>
    <dgm:cxn modelId="{6BC3B96A-BA91-4754-A303-EDC728976E68}" type="presParOf" srcId="{2DEF155D-F402-4654-93A6-925A1C450878}" destId="{61D81E75-B8A3-4C4A-8659-736C3FF1EAFB}" srcOrd="0" destOrd="0" presId="urn:microsoft.com/office/officeart/2008/layout/NameandTitleOrganizationalChart"/>
    <dgm:cxn modelId="{206620B0-90BB-4375-A9EC-E5C0BCAF6F73}" type="presParOf" srcId="{2DEF155D-F402-4654-93A6-925A1C450878}" destId="{F7DF5899-0ECD-435B-A7BA-5E89EC87F067}" srcOrd="1" destOrd="0" presId="urn:microsoft.com/office/officeart/2008/layout/NameandTitleOrganizationalChart"/>
    <dgm:cxn modelId="{7DA666E5-7FE7-4E99-9FF5-CE4EE25EAFB9}" type="presParOf" srcId="{2DEF155D-F402-4654-93A6-925A1C450878}" destId="{0CB7280F-4F5C-4CBC-8974-61EB70C4DE39}" srcOrd="2" destOrd="0" presId="urn:microsoft.com/office/officeart/2008/layout/NameandTitleOrganizationalChart"/>
    <dgm:cxn modelId="{CD856F60-A83F-4C4C-B074-4A1E78975150}" type="presParOf" srcId="{13B64CC8-0854-45A3-8BD3-41D84ACA0626}" destId="{FFBEBBE3-1FEA-4027-851C-3E4794D7E058}" srcOrd="1" destOrd="0" presId="urn:microsoft.com/office/officeart/2008/layout/NameandTitleOrganizationalChart"/>
    <dgm:cxn modelId="{AB3A3EA4-FFF2-4F19-A714-3CC8DF86F5DE}" type="presParOf" srcId="{13B64CC8-0854-45A3-8BD3-41D84ACA0626}" destId="{D8CE9609-F943-467B-8FAF-4954CBF7D270}" srcOrd="2" destOrd="0" presId="urn:microsoft.com/office/officeart/2008/layout/NameandTitleOrganizationalChart"/>
    <dgm:cxn modelId="{14B7593C-CBDE-4BDD-A1B0-1B1CEA35C828}" type="presParOf" srcId="{A501B5B6-FB30-45DD-ADFB-817242CCE690}" destId="{492844D7-DB35-4BCC-A4A6-A1F071747576}" srcOrd="10" destOrd="0" presId="urn:microsoft.com/office/officeart/2008/layout/NameandTitleOrganizationalChart"/>
    <dgm:cxn modelId="{BE06A0D0-F8AF-49DF-A9F7-5539CCCA6400}" type="presParOf" srcId="{A501B5B6-FB30-45DD-ADFB-817242CCE690}" destId="{7C8293C1-D7A9-43EE-AD7B-1D0D806D228C}" srcOrd="11" destOrd="0" presId="urn:microsoft.com/office/officeart/2008/layout/NameandTitleOrganizationalChart"/>
    <dgm:cxn modelId="{7C72DCA4-18FE-4501-B4D0-13BF16D56E2B}" type="presParOf" srcId="{7C8293C1-D7A9-43EE-AD7B-1D0D806D228C}" destId="{ECD3A6C3-98AB-4420-BC90-0B69109AA68F}" srcOrd="0" destOrd="0" presId="urn:microsoft.com/office/officeart/2008/layout/NameandTitleOrganizationalChart"/>
    <dgm:cxn modelId="{E7C79792-18F4-4F1A-81C6-183926AE1907}" type="presParOf" srcId="{ECD3A6C3-98AB-4420-BC90-0B69109AA68F}" destId="{4EAFC1F3-ECC7-44E1-B1EE-5432A2CF3FD0}" srcOrd="0" destOrd="0" presId="urn:microsoft.com/office/officeart/2008/layout/NameandTitleOrganizationalChart"/>
    <dgm:cxn modelId="{92194350-852A-4E0B-AF5E-701F05CA253E}" type="presParOf" srcId="{ECD3A6C3-98AB-4420-BC90-0B69109AA68F}" destId="{48898B29-D62D-4413-8A72-FD1916680838}" srcOrd="1" destOrd="0" presId="urn:microsoft.com/office/officeart/2008/layout/NameandTitleOrganizationalChart"/>
    <dgm:cxn modelId="{CABBF830-D980-4C34-BFB5-CBDB18C79858}" type="presParOf" srcId="{ECD3A6C3-98AB-4420-BC90-0B69109AA68F}" destId="{FCE7F87B-9F38-4E4A-8A27-DFC8E68DAE3B}" srcOrd="2" destOrd="0" presId="urn:microsoft.com/office/officeart/2008/layout/NameandTitleOrganizationalChart"/>
    <dgm:cxn modelId="{A84172A8-3FA8-4711-A353-0DA29A74BFBC}" type="presParOf" srcId="{7C8293C1-D7A9-43EE-AD7B-1D0D806D228C}" destId="{1CDAE4E0-0805-47D8-96F3-C939B0E9587D}" srcOrd="1" destOrd="0" presId="urn:microsoft.com/office/officeart/2008/layout/NameandTitleOrganizationalChart"/>
    <dgm:cxn modelId="{6BDA7F27-B117-4C7C-9D82-184C0D6273BC}" type="presParOf" srcId="{7C8293C1-D7A9-43EE-AD7B-1D0D806D228C}" destId="{9893DDB3-632F-4828-B172-2F65211A52A9}" srcOrd="2" destOrd="0" presId="urn:microsoft.com/office/officeart/2008/layout/NameandTitleOrganizationalChart"/>
    <dgm:cxn modelId="{889968AC-ED1E-42D5-AE53-397732984689}" type="presParOf" srcId="{2AA3FA3B-F919-4BE1-B921-5C005A4F4760}" destId="{3C7F109D-11D0-478C-9B09-FF51B940BDFA}" srcOrd="2" destOrd="0" presId="urn:microsoft.com/office/officeart/2008/layout/NameandTitleOrganizationalChart"/>
    <dgm:cxn modelId="{2459F21B-C84D-44DF-8FAD-1C737C16C95C}" type="presParOf" srcId="{3C7F109D-11D0-478C-9B09-FF51B940BDFA}" destId="{12BF03E0-E4ED-4C27-8CDE-47F43D536E54}" srcOrd="0" destOrd="0" presId="urn:microsoft.com/office/officeart/2008/layout/NameandTitleOrganizationalChart"/>
    <dgm:cxn modelId="{89BD7EAD-F41C-4749-A2AF-44D90CF4803B}" type="presParOf" srcId="{3C7F109D-11D0-478C-9B09-FF51B940BDFA}" destId="{624838E2-3738-4307-8510-0220CFC5314E}" srcOrd="1" destOrd="0" presId="urn:microsoft.com/office/officeart/2008/layout/NameandTitleOrganizationalChart"/>
    <dgm:cxn modelId="{75F2A5F1-7BA8-4527-ACB8-E2D2B79045DC}" type="presParOf" srcId="{624838E2-3738-4307-8510-0220CFC5314E}" destId="{632D63EB-05CA-4C0B-B442-D62B30008733}" srcOrd="0" destOrd="0" presId="urn:microsoft.com/office/officeart/2008/layout/NameandTitleOrganizationalChart"/>
    <dgm:cxn modelId="{8E505944-E0D2-4422-9D3C-A5E679A0E954}" type="presParOf" srcId="{632D63EB-05CA-4C0B-B442-D62B30008733}" destId="{86E28284-176D-4A62-AE91-9053E5013AA3}" srcOrd="0" destOrd="0" presId="urn:microsoft.com/office/officeart/2008/layout/NameandTitleOrganizationalChart"/>
    <dgm:cxn modelId="{4D9D1474-84BC-4100-A9D6-1A64B9EF722A}" type="presParOf" srcId="{632D63EB-05CA-4C0B-B442-D62B30008733}" destId="{45646B25-7368-4492-ABDD-11E737465DAA}" srcOrd="1" destOrd="0" presId="urn:microsoft.com/office/officeart/2008/layout/NameandTitleOrganizationalChart"/>
    <dgm:cxn modelId="{61F00F97-E8CA-4693-A594-F13EEBCE78BC}" type="presParOf" srcId="{632D63EB-05CA-4C0B-B442-D62B30008733}" destId="{33377E04-4481-4217-9217-C9B6A5A883C4}" srcOrd="2" destOrd="0" presId="urn:microsoft.com/office/officeart/2008/layout/NameandTitleOrganizationalChart"/>
    <dgm:cxn modelId="{DA2838C2-D796-4BF4-9F05-C05888088489}" type="presParOf" srcId="{624838E2-3738-4307-8510-0220CFC5314E}" destId="{C16D6E42-97ED-4F48-9D05-49E9241D210D}" srcOrd="1" destOrd="0" presId="urn:microsoft.com/office/officeart/2008/layout/NameandTitleOrganizationalChart"/>
    <dgm:cxn modelId="{0BDFBCFD-A221-4AB1-A518-55FCB6C1CC98}" type="presParOf" srcId="{624838E2-3738-4307-8510-0220CFC5314E}" destId="{8149F35C-302E-408A-A577-122B53C010BB}" srcOrd="2" destOrd="0" presId="urn:microsoft.com/office/officeart/2008/layout/NameandTitleOrganizationalChart"/>
    <dgm:cxn modelId="{E75D062C-CD11-4FB9-9BF1-3D6B02AF0782}" type="presParOf" srcId="{3C7F109D-11D0-478C-9B09-FF51B940BDFA}" destId="{2BF8EC33-C17E-43F3-B1C3-41535A4237D9}" srcOrd="2" destOrd="0" presId="urn:microsoft.com/office/officeart/2008/layout/NameandTitleOrganizationalChart"/>
    <dgm:cxn modelId="{1A055D71-F73F-4278-A65D-23568D1C9920}" type="presParOf" srcId="{3C7F109D-11D0-478C-9B09-FF51B940BDFA}" destId="{AE033ACD-5837-460F-B67C-F5AA137FCB27}" srcOrd="3" destOrd="0" presId="urn:microsoft.com/office/officeart/2008/layout/NameandTitleOrganizationalChart"/>
    <dgm:cxn modelId="{F93F32B3-A619-44DF-8196-F61F7980AFFF}" type="presParOf" srcId="{AE033ACD-5837-460F-B67C-F5AA137FCB27}" destId="{32E6DE44-EE8C-471F-A729-C25E1D33B5E1}" srcOrd="0" destOrd="0" presId="urn:microsoft.com/office/officeart/2008/layout/NameandTitleOrganizationalChart"/>
    <dgm:cxn modelId="{3F9645B7-C190-4CCD-AD70-6403B7DC8C02}" type="presParOf" srcId="{32E6DE44-EE8C-471F-A729-C25E1D33B5E1}" destId="{12D35E45-9BD6-482F-B38D-44D297E754D0}" srcOrd="0" destOrd="0" presId="urn:microsoft.com/office/officeart/2008/layout/NameandTitleOrganizationalChart"/>
    <dgm:cxn modelId="{B725CBBB-7B57-4111-82ED-3E4161F6D3EE}" type="presParOf" srcId="{32E6DE44-EE8C-471F-A729-C25E1D33B5E1}" destId="{24F75951-F648-450E-B7EA-305F47B2A94C}" srcOrd="1" destOrd="0" presId="urn:microsoft.com/office/officeart/2008/layout/NameandTitleOrganizationalChart"/>
    <dgm:cxn modelId="{4ECD8FD8-45B4-4E5A-B213-52C2EAF389A6}" type="presParOf" srcId="{32E6DE44-EE8C-471F-A729-C25E1D33B5E1}" destId="{6A4E5013-0295-456D-967A-16E88DDAB7CF}" srcOrd="2" destOrd="0" presId="urn:microsoft.com/office/officeart/2008/layout/NameandTitleOrganizationalChart"/>
    <dgm:cxn modelId="{8DAF9FBD-A28F-4D4E-A380-DE764641DDF2}" type="presParOf" srcId="{AE033ACD-5837-460F-B67C-F5AA137FCB27}" destId="{DF9322BF-1043-44CF-922C-A949F812059D}" srcOrd="1" destOrd="0" presId="urn:microsoft.com/office/officeart/2008/layout/NameandTitleOrganizationalChart"/>
    <dgm:cxn modelId="{FACF633E-34DC-475D-A88E-32CD2D2F5236}" type="presParOf" srcId="{AE033ACD-5837-460F-B67C-F5AA137FCB27}" destId="{8937D717-92B7-493D-B6F0-6247BB9DF1CE}" srcOrd="2" destOrd="0" presId="urn:microsoft.com/office/officeart/2008/layout/NameandTitleOrganizationalChart"/>
    <dgm:cxn modelId="{F166B791-4049-4F6F-8332-8781F0814D7C}" type="presParOf" srcId="{3C7F109D-11D0-478C-9B09-FF51B940BDFA}" destId="{EF2EC534-044D-4A67-AA0C-4B6702A2F405}" srcOrd="4" destOrd="0" presId="urn:microsoft.com/office/officeart/2008/layout/NameandTitleOrganizationalChart"/>
    <dgm:cxn modelId="{36F51D2E-C1AD-451B-B07F-5577CD4EE245}" type="presParOf" srcId="{3C7F109D-11D0-478C-9B09-FF51B940BDFA}" destId="{268926A5-4ED5-4FED-A442-8A87250DF73E}" srcOrd="5" destOrd="0" presId="urn:microsoft.com/office/officeart/2008/layout/NameandTitleOrganizationalChart"/>
    <dgm:cxn modelId="{A540EE55-4620-441D-8134-8952B02D37F3}" type="presParOf" srcId="{268926A5-4ED5-4FED-A442-8A87250DF73E}" destId="{9731EF15-29B5-4D80-A9C7-0B28B1D50CFC}" srcOrd="0" destOrd="0" presId="urn:microsoft.com/office/officeart/2008/layout/NameandTitleOrganizationalChart"/>
    <dgm:cxn modelId="{D60F7702-DCCE-466A-9398-98A5A0352AF4}" type="presParOf" srcId="{9731EF15-29B5-4D80-A9C7-0B28B1D50CFC}" destId="{54C5C5FB-8264-413B-A39E-25534E05343D}" srcOrd="0" destOrd="0" presId="urn:microsoft.com/office/officeart/2008/layout/NameandTitleOrganizationalChart"/>
    <dgm:cxn modelId="{E4B2101F-4BBC-4D9C-AF33-4D842ED5279C}" type="presParOf" srcId="{9731EF15-29B5-4D80-A9C7-0B28B1D50CFC}" destId="{9DD29793-8872-44E0-91E4-02CA010A50C9}" srcOrd="1" destOrd="0" presId="urn:microsoft.com/office/officeart/2008/layout/NameandTitleOrganizationalChart"/>
    <dgm:cxn modelId="{4C6B7A7A-DAB3-4926-A41A-70506DCD0B46}" type="presParOf" srcId="{9731EF15-29B5-4D80-A9C7-0B28B1D50CFC}" destId="{7D7BEB24-17AB-467A-B38B-72976B79EF74}" srcOrd="2" destOrd="0" presId="urn:microsoft.com/office/officeart/2008/layout/NameandTitleOrganizationalChart"/>
    <dgm:cxn modelId="{C2EEA39D-A960-4AA6-90AB-01E0FEEC6200}" type="presParOf" srcId="{268926A5-4ED5-4FED-A442-8A87250DF73E}" destId="{0A712E67-5C69-4E2E-96EE-CBDF0BCFFD8F}" srcOrd="1" destOrd="0" presId="urn:microsoft.com/office/officeart/2008/layout/NameandTitleOrganizationalChart"/>
    <dgm:cxn modelId="{73EC6AD5-EF65-4DC1-A60B-F94382C613F8}" type="presParOf" srcId="{268926A5-4ED5-4FED-A442-8A87250DF73E}" destId="{C8CBD3AE-FDBC-4C80-8EF2-D2789DDA2B5D}" srcOrd="2" destOrd="0" presId="urn:microsoft.com/office/officeart/2008/layout/NameandTitleOrganizationalChart"/>
    <dgm:cxn modelId="{E643F62F-0587-4EC7-974B-5BB2CED4139D}" type="presParOf" srcId="{3C7F109D-11D0-478C-9B09-FF51B940BDFA}" destId="{4B9F9A20-7A64-4A02-B67F-0661D114365C}" srcOrd="6" destOrd="0" presId="urn:microsoft.com/office/officeart/2008/layout/NameandTitleOrganizationalChart"/>
    <dgm:cxn modelId="{E2B3CB68-CA7C-4874-9873-9D1546AA6F0C}" type="presParOf" srcId="{3C7F109D-11D0-478C-9B09-FF51B940BDFA}" destId="{9FEC58C5-81C9-4337-94F3-471B32F1F645}" srcOrd="7" destOrd="0" presId="urn:microsoft.com/office/officeart/2008/layout/NameandTitleOrganizationalChart"/>
    <dgm:cxn modelId="{08B48939-3E44-4700-8CB3-FD7BCECFFB45}" type="presParOf" srcId="{9FEC58C5-81C9-4337-94F3-471B32F1F645}" destId="{EA147C56-3230-4898-9369-46A56079C39A}" srcOrd="0" destOrd="0" presId="urn:microsoft.com/office/officeart/2008/layout/NameandTitleOrganizationalChart"/>
    <dgm:cxn modelId="{28191300-F876-4E6D-8BED-A35E951286AC}" type="presParOf" srcId="{EA147C56-3230-4898-9369-46A56079C39A}" destId="{9D238047-A39B-43E6-A3AC-20D89389D1FC}" srcOrd="0" destOrd="0" presId="urn:microsoft.com/office/officeart/2008/layout/NameandTitleOrganizationalChart"/>
    <dgm:cxn modelId="{F4134BAC-2D46-40D9-864C-7F85B1EBC224}" type="presParOf" srcId="{EA147C56-3230-4898-9369-46A56079C39A}" destId="{7A47B9BB-D871-4CDF-B391-1AB6D6AFDD03}" srcOrd="1" destOrd="0" presId="urn:microsoft.com/office/officeart/2008/layout/NameandTitleOrganizationalChart"/>
    <dgm:cxn modelId="{99C55ABD-D7AF-403D-9A4B-5495C729F065}" type="presParOf" srcId="{EA147C56-3230-4898-9369-46A56079C39A}" destId="{8F4E2816-BF6E-44F0-96EA-EE4937DABE17}" srcOrd="2" destOrd="0" presId="urn:microsoft.com/office/officeart/2008/layout/NameandTitleOrganizationalChart"/>
    <dgm:cxn modelId="{78FCAC1F-9C30-45B8-84CF-5CFB2879C7D4}" type="presParOf" srcId="{9FEC58C5-81C9-4337-94F3-471B32F1F645}" destId="{83045EAE-B3CB-45F6-AC7B-1F78E4759A6A}" srcOrd="1" destOrd="0" presId="urn:microsoft.com/office/officeart/2008/layout/NameandTitleOrganizationalChart"/>
    <dgm:cxn modelId="{D9655DA2-0C9E-4EF2-8E10-B97B7AA7CE46}" type="presParOf" srcId="{9FEC58C5-81C9-4337-94F3-471B32F1F645}" destId="{066A7CC9-4E96-49F5-9E9D-6436A6BC67A9}" srcOrd="2" destOrd="0" presId="urn:microsoft.com/office/officeart/2008/layout/NameandTitleOrganizationalChart"/>
    <dgm:cxn modelId="{0F293A49-A316-4ED8-A931-EDDF04CF0B28}" type="presParOf" srcId="{3C7F109D-11D0-478C-9B09-FF51B940BDFA}" destId="{75F79943-D489-4034-A78F-5FCAB8421BF2}" srcOrd="8" destOrd="0" presId="urn:microsoft.com/office/officeart/2008/layout/NameandTitleOrganizationalChart"/>
    <dgm:cxn modelId="{B89714BB-400D-4BCC-8A96-4F70F2E873D2}" type="presParOf" srcId="{3C7F109D-11D0-478C-9B09-FF51B940BDFA}" destId="{E9C199FD-09F3-4563-A90E-FF7DBF483A31}" srcOrd="9" destOrd="0" presId="urn:microsoft.com/office/officeart/2008/layout/NameandTitleOrganizationalChart"/>
    <dgm:cxn modelId="{725CF951-3C62-4D78-9323-5A2613A9BC23}" type="presParOf" srcId="{E9C199FD-09F3-4563-A90E-FF7DBF483A31}" destId="{B5F41993-E5F2-4B86-8D68-EC2022C358A4}" srcOrd="0" destOrd="0" presId="urn:microsoft.com/office/officeart/2008/layout/NameandTitleOrganizationalChart"/>
    <dgm:cxn modelId="{9B0C944E-D19E-48A8-B185-D9EE0CE72740}" type="presParOf" srcId="{B5F41993-E5F2-4B86-8D68-EC2022C358A4}" destId="{7432605C-9A27-4292-BA29-7F0864E91529}" srcOrd="0" destOrd="0" presId="urn:microsoft.com/office/officeart/2008/layout/NameandTitleOrganizationalChart"/>
    <dgm:cxn modelId="{ECFA1200-DB9D-42BC-88E5-1E351F35941F}" type="presParOf" srcId="{B5F41993-E5F2-4B86-8D68-EC2022C358A4}" destId="{28B28792-93A2-4735-9B77-AFCFE2015FDB}" srcOrd="1" destOrd="0" presId="urn:microsoft.com/office/officeart/2008/layout/NameandTitleOrganizationalChart"/>
    <dgm:cxn modelId="{62D86A41-C149-418B-84CC-3927C1955886}" type="presParOf" srcId="{B5F41993-E5F2-4B86-8D68-EC2022C358A4}" destId="{93A6FF22-5354-438A-B136-FA19A497F6D9}" srcOrd="2" destOrd="0" presId="urn:microsoft.com/office/officeart/2008/layout/NameandTitleOrganizationalChart"/>
    <dgm:cxn modelId="{A0100022-302A-420D-9EE4-273AAA0A76EF}" type="presParOf" srcId="{E9C199FD-09F3-4563-A90E-FF7DBF483A31}" destId="{B5104BAA-547A-47F8-A2EB-1C9460101BBC}" srcOrd="1" destOrd="0" presId="urn:microsoft.com/office/officeart/2008/layout/NameandTitleOrganizationalChart"/>
    <dgm:cxn modelId="{38D343CF-41A1-42C7-BDCB-40A6DEBF5384}" type="presParOf" srcId="{E9C199FD-09F3-4563-A90E-FF7DBF483A31}" destId="{FEAF67BE-0CFA-4288-ADB5-0A102C897C3F}" srcOrd="2" destOrd="0" presId="urn:microsoft.com/office/officeart/2008/layout/NameandTitleOrganizationalChart"/>
    <dgm:cxn modelId="{3510F40A-EEED-4127-AB1E-499ACFF822BB}" type="presParOf" srcId="{3C7F109D-11D0-478C-9B09-FF51B940BDFA}" destId="{1BF86D8B-2AC6-4A22-B527-CD5B5C69A36C}" srcOrd="10" destOrd="0" presId="urn:microsoft.com/office/officeart/2008/layout/NameandTitleOrganizationalChart"/>
    <dgm:cxn modelId="{315E4BED-B18F-4B36-950F-7AF3B20788F4}" type="presParOf" srcId="{3C7F109D-11D0-478C-9B09-FF51B940BDFA}" destId="{C1E5F321-E23F-4B1D-B3CD-E7FFDA99483D}" srcOrd="11" destOrd="0" presId="urn:microsoft.com/office/officeart/2008/layout/NameandTitleOrganizationalChart"/>
    <dgm:cxn modelId="{BB0E8334-07B3-4437-9F02-CE59EA8223D0}" type="presParOf" srcId="{C1E5F321-E23F-4B1D-B3CD-E7FFDA99483D}" destId="{BAA22FB9-F49B-4C8C-9580-84DFF76F434F}" srcOrd="0" destOrd="0" presId="urn:microsoft.com/office/officeart/2008/layout/NameandTitleOrganizationalChart"/>
    <dgm:cxn modelId="{E4B26ECC-F986-4503-969E-D854C0252D4E}" type="presParOf" srcId="{BAA22FB9-F49B-4C8C-9580-84DFF76F434F}" destId="{52C89124-AF7A-43EC-9C1D-EB754E30E8A3}" srcOrd="0" destOrd="0" presId="urn:microsoft.com/office/officeart/2008/layout/NameandTitleOrganizationalChart"/>
    <dgm:cxn modelId="{6F6A387E-33EF-46C6-AF80-57936D6A9A1F}" type="presParOf" srcId="{BAA22FB9-F49B-4C8C-9580-84DFF76F434F}" destId="{DAA8A4B5-7338-4173-B5A5-E5A4840DF8BC}" srcOrd="1" destOrd="0" presId="urn:microsoft.com/office/officeart/2008/layout/NameandTitleOrganizationalChart"/>
    <dgm:cxn modelId="{4253565F-8E57-4E38-B24E-D87387A764CF}" type="presParOf" srcId="{BAA22FB9-F49B-4C8C-9580-84DFF76F434F}" destId="{6FD915F7-C000-4526-984B-D29DE5951936}" srcOrd="2" destOrd="0" presId="urn:microsoft.com/office/officeart/2008/layout/NameandTitleOrganizationalChart"/>
    <dgm:cxn modelId="{6431D704-D4B3-4C6D-84FD-211BE6A14543}" type="presParOf" srcId="{C1E5F321-E23F-4B1D-B3CD-E7FFDA99483D}" destId="{53295C13-A39F-46DA-8B43-ECC94BA7A6D4}" srcOrd="1" destOrd="0" presId="urn:microsoft.com/office/officeart/2008/layout/NameandTitleOrganizationalChart"/>
    <dgm:cxn modelId="{97E50CF1-5D27-41B2-B967-EB252BA45FA6}" type="presParOf" srcId="{C1E5F321-E23F-4B1D-B3CD-E7FFDA99483D}" destId="{0D97CF36-01CC-43C1-B411-EC8B41A4B610}" srcOrd="2" destOrd="0" presId="urn:microsoft.com/office/officeart/2008/layout/NameandTitleOrganizationalChart"/>
    <dgm:cxn modelId="{B0D21939-3A20-4331-B144-988FD96CDEDE}" type="presParOf" srcId="{3C7F109D-11D0-478C-9B09-FF51B940BDFA}" destId="{2B23E7E4-A0FC-4374-BF19-D29962707AAB}" srcOrd="12" destOrd="0" presId="urn:microsoft.com/office/officeart/2008/layout/NameandTitleOrganizationalChart"/>
    <dgm:cxn modelId="{8C7D85B0-B574-4F88-A844-C2B51CA13021}" type="presParOf" srcId="{3C7F109D-11D0-478C-9B09-FF51B940BDFA}" destId="{7A56B07A-8A72-40CE-91F3-AFBCCD307A7E}" srcOrd="13" destOrd="0" presId="urn:microsoft.com/office/officeart/2008/layout/NameandTitleOrganizationalChart"/>
    <dgm:cxn modelId="{FA0E0B44-7529-4AB3-89A2-64E1E86BD8F3}" type="presParOf" srcId="{7A56B07A-8A72-40CE-91F3-AFBCCD307A7E}" destId="{F7FC0F49-AF87-40C3-828C-DB5018DC0F5D}" srcOrd="0" destOrd="0" presId="urn:microsoft.com/office/officeart/2008/layout/NameandTitleOrganizationalChart"/>
    <dgm:cxn modelId="{4ADB3F81-2A2D-49CB-A8E0-24103DDB2B8B}" type="presParOf" srcId="{F7FC0F49-AF87-40C3-828C-DB5018DC0F5D}" destId="{ACCFC87C-CDA4-4658-B955-A3392BB37DF6}" srcOrd="0" destOrd="0" presId="urn:microsoft.com/office/officeart/2008/layout/NameandTitleOrganizationalChart"/>
    <dgm:cxn modelId="{1CC3EFDC-D9E8-4ACC-AD4E-436C116FA962}" type="presParOf" srcId="{F7FC0F49-AF87-40C3-828C-DB5018DC0F5D}" destId="{B548A99A-27AE-40BC-9B17-093ECC5F10B1}" srcOrd="1" destOrd="0" presId="urn:microsoft.com/office/officeart/2008/layout/NameandTitleOrganizationalChart"/>
    <dgm:cxn modelId="{EBCBB279-4555-4C68-A488-1D7537A2830B}" type="presParOf" srcId="{F7FC0F49-AF87-40C3-828C-DB5018DC0F5D}" destId="{823A6B1D-D22F-4CB1-BDD3-BFEA046000C5}" srcOrd="2" destOrd="0" presId="urn:microsoft.com/office/officeart/2008/layout/NameandTitleOrganizationalChart"/>
    <dgm:cxn modelId="{8AB4584B-C4FE-4C04-B941-4DEC69B31ACB}" type="presParOf" srcId="{7A56B07A-8A72-40CE-91F3-AFBCCD307A7E}" destId="{CA5136DD-464D-459D-B489-4ADBA115300D}" srcOrd="1" destOrd="0" presId="urn:microsoft.com/office/officeart/2008/layout/NameandTitleOrganizationalChart"/>
    <dgm:cxn modelId="{AFA24E7A-253D-4880-88D6-4450C1B83018}" type="presParOf" srcId="{7A56B07A-8A72-40CE-91F3-AFBCCD307A7E}" destId="{8393789A-517F-496A-9CAF-02FCAD7A46D0}" srcOrd="2" destOrd="0" presId="urn:microsoft.com/office/officeart/2008/layout/NameandTitleOrganizationalChart"/>
    <dgm:cxn modelId="{6739AA7A-8439-46FE-A0B3-EB128719025A}" type="presParOf" srcId="{3C7F109D-11D0-478C-9B09-FF51B940BDFA}" destId="{3A8E5F64-5D90-4701-BF7B-364A94B47DFE}" srcOrd="14" destOrd="0" presId="urn:microsoft.com/office/officeart/2008/layout/NameandTitleOrganizationalChart"/>
    <dgm:cxn modelId="{DFE8BE96-B32E-410B-B801-549B22DBE154}" type="presParOf" srcId="{3C7F109D-11D0-478C-9B09-FF51B940BDFA}" destId="{2F750B7C-F8E2-48C6-873A-49C05607A540}" srcOrd="15" destOrd="0" presId="urn:microsoft.com/office/officeart/2008/layout/NameandTitleOrganizationalChart"/>
    <dgm:cxn modelId="{DBB87221-825C-4F8D-9BAA-F3D5D92003E5}" type="presParOf" srcId="{2F750B7C-F8E2-48C6-873A-49C05607A540}" destId="{3BC77E30-E8FB-46E8-8450-02AD7CFB028F}" srcOrd="0" destOrd="0" presId="urn:microsoft.com/office/officeart/2008/layout/NameandTitleOrganizationalChart"/>
    <dgm:cxn modelId="{37E2C876-0407-4B90-918A-730824EB1300}" type="presParOf" srcId="{3BC77E30-E8FB-46E8-8450-02AD7CFB028F}" destId="{BD04ABAB-CA97-40AA-9F13-A1C451B4E37F}" srcOrd="0" destOrd="0" presId="urn:microsoft.com/office/officeart/2008/layout/NameandTitleOrganizationalChart"/>
    <dgm:cxn modelId="{E317DA31-D9B9-4CBE-9B84-057D159A5685}" type="presParOf" srcId="{3BC77E30-E8FB-46E8-8450-02AD7CFB028F}" destId="{6FF95067-2DD2-4B6F-8BA9-0A0E9A342F0D}" srcOrd="1" destOrd="0" presId="urn:microsoft.com/office/officeart/2008/layout/NameandTitleOrganizationalChart"/>
    <dgm:cxn modelId="{7E3FC10E-3404-4FB9-846F-0F5B368DD063}" type="presParOf" srcId="{3BC77E30-E8FB-46E8-8450-02AD7CFB028F}" destId="{53B7CACB-507A-429B-8166-6ED921F31CED}" srcOrd="2" destOrd="0" presId="urn:microsoft.com/office/officeart/2008/layout/NameandTitleOrganizationalChart"/>
    <dgm:cxn modelId="{13D7AC1E-7475-4B7A-9ECE-92049DC61288}" type="presParOf" srcId="{2F750B7C-F8E2-48C6-873A-49C05607A540}" destId="{983795EB-9151-40F9-8CFD-0AA0F627D4DA}" srcOrd="1" destOrd="0" presId="urn:microsoft.com/office/officeart/2008/layout/NameandTitleOrganizationalChart"/>
    <dgm:cxn modelId="{D50CECA0-B921-419C-BDB2-39DE00CDF162}" type="presParOf" srcId="{2F750B7C-F8E2-48C6-873A-49C05607A540}" destId="{B22DC80D-B1CF-4CED-AF20-8040E4401F41}" srcOrd="2" destOrd="0" presId="urn:microsoft.com/office/officeart/2008/layout/NameandTitleOrganizationalChart"/>
    <dgm:cxn modelId="{0D8E574D-B194-4A66-A898-95F08F6E870E}" type="presParOf" srcId="{3C7F109D-11D0-478C-9B09-FF51B940BDFA}" destId="{B6E6713F-C7A6-4F80-AF85-BB84908DCB4A}" srcOrd="16" destOrd="0" presId="urn:microsoft.com/office/officeart/2008/layout/NameandTitleOrganizationalChart"/>
    <dgm:cxn modelId="{8D3B8FEC-0889-4CBA-915F-DC476614D723}" type="presParOf" srcId="{3C7F109D-11D0-478C-9B09-FF51B940BDFA}" destId="{F1A956D0-D596-47D1-A398-30572A5CF0AE}" srcOrd="17" destOrd="0" presId="urn:microsoft.com/office/officeart/2008/layout/NameandTitleOrganizationalChart"/>
    <dgm:cxn modelId="{04156A9C-AF85-462C-9CB4-C6D2087E2E15}" type="presParOf" srcId="{F1A956D0-D596-47D1-A398-30572A5CF0AE}" destId="{9EC0C185-7158-4287-AA05-EA2FD137AA50}" srcOrd="0" destOrd="0" presId="urn:microsoft.com/office/officeart/2008/layout/NameandTitleOrganizationalChart"/>
    <dgm:cxn modelId="{E6F15C8D-4290-4A9E-B9D9-F390318BBCA2}" type="presParOf" srcId="{9EC0C185-7158-4287-AA05-EA2FD137AA50}" destId="{34D7311B-CC41-4749-B268-AF290B8D4BAC}" srcOrd="0" destOrd="0" presId="urn:microsoft.com/office/officeart/2008/layout/NameandTitleOrganizationalChart"/>
    <dgm:cxn modelId="{F1B9A72D-7106-43B7-9079-5664717EF990}" type="presParOf" srcId="{9EC0C185-7158-4287-AA05-EA2FD137AA50}" destId="{EDCBF6F4-AED4-403F-B120-59B649834959}" srcOrd="1" destOrd="0" presId="urn:microsoft.com/office/officeart/2008/layout/NameandTitleOrganizationalChart"/>
    <dgm:cxn modelId="{48ED6C63-D9C6-4D45-B3BA-1574C2A0FCD4}" type="presParOf" srcId="{9EC0C185-7158-4287-AA05-EA2FD137AA50}" destId="{3E438F3B-22BF-47DA-B71C-160F2A3D3AAA}" srcOrd="2" destOrd="0" presId="urn:microsoft.com/office/officeart/2008/layout/NameandTitleOrganizationalChart"/>
    <dgm:cxn modelId="{AE6B39DF-CD64-4917-9149-5B61446CC0A8}" type="presParOf" srcId="{F1A956D0-D596-47D1-A398-30572A5CF0AE}" destId="{A2E01D00-E710-4310-A814-EE2F096B89DC}" srcOrd="1" destOrd="0" presId="urn:microsoft.com/office/officeart/2008/layout/NameandTitleOrganizationalChart"/>
    <dgm:cxn modelId="{CB0DF848-52AB-4E60-AC5D-4AD7C88CCE01}" type="presParOf" srcId="{F1A956D0-D596-47D1-A398-30572A5CF0AE}" destId="{2241863B-EB89-42BA-8A65-160B6F4FEEC3}" srcOrd="2" destOrd="0" presId="urn:microsoft.com/office/officeart/2008/layout/NameandTitleOrganizationalChart"/>
    <dgm:cxn modelId="{ADDDC0A6-A32F-40AD-892A-66A0E5335C44}" type="presParOf" srcId="{3C7F109D-11D0-478C-9B09-FF51B940BDFA}" destId="{4D83B0D4-9BAE-4DF6-9111-277DF8911F5A}" srcOrd="18" destOrd="0" presId="urn:microsoft.com/office/officeart/2008/layout/NameandTitleOrganizationalChart"/>
    <dgm:cxn modelId="{AA16A19C-872D-4F74-91B6-268D8C75E09D}" type="presParOf" srcId="{3C7F109D-11D0-478C-9B09-FF51B940BDFA}" destId="{ADA64F2E-FBDB-47E8-A05B-233AFAE55B35}" srcOrd="19" destOrd="0" presId="urn:microsoft.com/office/officeart/2008/layout/NameandTitleOrganizationalChart"/>
    <dgm:cxn modelId="{612CB459-0C2F-4B7B-B981-F02832D31CD8}" type="presParOf" srcId="{ADA64F2E-FBDB-47E8-A05B-233AFAE55B35}" destId="{AFE49FD6-9BDC-4011-8E5D-F79377E77365}" srcOrd="0" destOrd="0" presId="urn:microsoft.com/office/officeart/2008/layout/NameandTitleOrganizationalChart"/>
    <dgm:cxn modelId="{80E93401-18E7-465A-923D-77FD2B9661B7}" type="presParOf" srcId="{AFE49FD6-9BDC-4011-8E5D-F79377E77365}" destId="{4173AF82-9A93-410B-802B-0296AE7B7EC0}" srcOrd="0" destOrd="0" presId="urn:microsoft.com/office/officeart/2008/layout/NameandTitleOrganizationalChart"/>
    <dgm:cxn modelId="{C637615E-0245-44A6-BF6A-8E5A5336CD26}" type="presParOf" srcId="{AFE49FD6-9BDC-4011-8E5D-F79377E77365}" destId="{8627A5A1-7B55-42EE-8DA0-56F702F58712}" srcOrd="1" destOrd="0" presId="urn:microsoft.com/office/officeart/2008/layout/NameandTitleOrganizationalChart"/>
    <dgm:cxn modelId="{B75E942D-4A3A-468C-93AD-D2D9DC722E9D}" type="presParOf" srcId="{AFE49FD6-9BDC-4011-8E5D-F79377E77365}" destId="{9ADB903E-97C8-4D0A-A430-A75BBA153487}" srcOrd="2" destOrd="0" presId="urn:microsoft.com/office/officeart/2008/layout/NameandTitleOrganizationalChart"/>
    <dgm:cxn modelId="{EC8A3EAF-832C-4BFF-A712-6D23F6FC40FC}" type="presParOf" srcId="{ADA64F2E-FBDB-47E8-A05B-233AFAE55B35}" destId="{F7EAB948-B9D5-452F-881E-203272D0F07E}" srcOrd="1" destOrd="0" presId="urn:microsoft.com/office/officeart/2008/layout/NameandTitleOrganizationalChart"/>
    <dgm:cxn modelId="{B59FC105-4EF7-4321-8A52-C51430FA83F4}" type="presParOf" srcId="{ADA64F2E-FBDB-47E8-A05B-233AFAE55B35}" destId="{301A6B92-9B5D-4B09-8DA2-D191E312A997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f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11.png"/><Relationship Id="rId4" Type="http://schemas.openxmlformats.org/officeDocument/2006/relationships/image" Target="../media/image10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g"/><Relationship Id="rId1" Type="http://schemas.openxmlformats.org/officeDocument/2006/relationships/image" Target="../media/image12.jpeg"/><Relationship Id="rId6" Type="http://schemas.openxmlformats.org/officeDocument/2006/relationships/image" Target="../media/image17.png"/><Relationship Id="rId5" Type="http://schemas.openxmlformats.org/officeDocument/2006/relationships/image" Target="../media/image16.jpeg"/><Relationship Id="rId10" Type="http://schemas.openxmlformats.org/officeDocument/2006/relationships/image" Target="../media/image21.jpe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38100</xdr:rowOff>
    </xdr:from>
    <xdr:to>
      <xdr:col>0</xdr:col>
      <xdr:colOff>1074420</xdr:colOff>
      <xdr:row>0</xdr:row>
      <xdr:rowOff>628502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38100"/>
          <a:ext cx="982980" cy="590402"/>
        </a:xfrm>
        <a:prstGeom prst="rect">
          <a:avLst/>
        </a:prstGeom>
      </xdr:spPr>
    </xdr:pic>
    <xdr:clientData/>
  </xdr:twoCellAnchor>
  <xdr:twoCellAnchor editAs="oneCell">
    <xdr:from>
      <xdr:col>8</xdr:col>
      <xdr:colOff>838199</xdr:colOff>
      <xdr:row>1</xdr:row>
      <xdr:rowOff>7620</xdr:rowOff>
    </xdr:from>
    <xdr:to>
      <xdr:col>17</xdr:col>
      <xdr:colOff>42476</xdr:colOff>
      <xdr:row>18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1119" y="678180"/>
          <a:ext cx="5231697" cy="403098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3</xdr:row>
      <xdr:rowOff>91440</xdr:rowOff>
    </xdr:from>
    <xdr:to>
      <xdr:col>0</xdr:col>
      <xdr:colOff>335280</xdr:colOff>
      <xdr:row>3</xdr:row>
      <xdr:rowOff>220980</xdr:rowOff>
    </xdr:to>
    <xdr:sp macro="" textlink="">
      <xdr:nvSpPr>
        <xdr:cNvPr id="4" name="Right Arrow 3"/>
        <xdr:cNvSpPr/>
      </xdr:nvSpPr>
      <xdr:spPr>
        <a:xfrm>
          <a:off x="167640" y="1356360"/>
          <a:ext cx="167640" cy="129540"/>
        </a:xfrm>
        <a:prstGeom prst="rightArrow">
          <a:avLst/>
        </a:prstGeom>
        <a:solidFill>
          <a:srgbClr val="2DE61A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167640</xdr:colOff>
      <xdr:row>4</xdr:row>
      <xdr:rowOff>114300</xdr:rowOff>
    </xdr:from>
    <xdr:to>
      <xdr:col>0</xdr:col>
      <xdr:colOff>335280</xdr:colOff>
      <xdr:row>4</xdr:row>
      <xdr:rowOff>243840</xdr:rowOff>
    </xdr:to>
    <xdr:sp macro="" textlink="">
      <xdr:nvSpPr>
        <xdr:cNvPr id="6" name="Right Arrow 5"/>
        <xdr:cNvSpPr/>
      </xdr:nvSpPr>
      <xdr:spPr>
        <a:xfrm>
          <a:off x="167640" y="1821180"/>
          <a:ext cx="167640" cy="129540"/>
        </a:xfrm>
        <a:prstGeom prst="rightArrow">
          <a:avLst/>
        </a:prstGeom>
        <a:solidFill>
          <a:srgbClr val="2DE61A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167640</xdr:colOff>
      <xdr:row>5</xdr:row>
      <xdr:rowOff>106680</xdr:rowOff>
    </xdr:from>
    <xdr:to>
      <xdr:col>0</xdr:col>
      <xdr:colOff>335280</xdr:colOff>
      <xdr:row>5</xdr:row>
      <xdr:rowOff>236220</xdr:rowOff>
    </xdr:to>
    <xdr:sp macro="" textlink="">
      <xdr:nvSpPr>
        <xdr:cNvPr id="7" name="Right Arrow 6"/>
        <xdr:cNvSpPr/>
      </xdr:nvSpPr>
      <xdr:spPr>
        <a:xfrm>
          <a:off x="167640" y="2080260"/>
          <a:ext cx="167640" cy="129540"/>
        </a:xfrm>
        <a:prstGeom prst="rightArrow">
          <a:avLst/>
        </a:prstGeom>
        <a:solidFill>
          <a:srgbClr val="2DE61A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175260</xdr:colOff>
      <xdr:row>6</xdr:row>
      <xdr:rowOff>99060</xdr:rowOff>
    </xdr:from>
    <xdr:to>
      <xdr:col>0</xdr:col>
      <xdr:colOff>342900</xdr:colOff>
      <xdr:row>6</xdr:row>
      <xdr:rowOff>251460</xdr:rowOff>
    </xdr:to>
    <xdr:sp macro="" textlink="">
      <xdr:nvSpPr>
        <xdr:cNvPr id="8" name="Right Arrow 7"/>
        <xdr:cNvSpPr/>
      </xdr:nvSpPr>
      <xdr:spPr>
        <a:xfrm>
          <a:off x="175260" y="2133600"/>
          <a:ext cx="167640" cy="152400"/>
        </a:xfrm>
        <a:prstGeom prst="rightArrow">
          <a:avLst/>
        </a:prstGeom>
        <a:solidFill>
          <a:srgbClr val="2DE61A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746760</xdr:colOff>
      <xdr:row>6</xdr:row>
      <xdr:rowOff>144780</xdr:rowOff>
    </xdr:from>
    <xdr:to>
      <xdr:col>5</xdr:col>
      <xdr:colOff>343202</xdr:colOff>
      <xdr:row>21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3120" y="2179320"/>
          <a:ext cx="4465622" cy="3078480"/>
        </a:xfrm>
        <a:prstGeom prst="rect">
          <a:avLst/>
        </a:prstGeom>
        <a:effectLst>
          <a:outerShdw blurRad="76200" dir="13500000" sy="23000" kx="1200000" algn="br" rotWithShape="0">
            <a:prstClr val="black">
              <a:alpha val="20000"/>
            </a:prstClr>
          </a:outerShdw>
        </a:effectLst>
      </xdr:spPr>
    </xdr:pic>
    <xdr:clientData/>
  </xdr:twoCellAnchor>
  <xdr:twoCellAnchor>
    <xdr:from>
      <xdr:col>5</xdr:col>
      <xdr:colOff>464820</xdr:colOff>
      <xdr:row>11</xdr:row>
      <xdr:rowOff>106680</xdr:rowOff>
    </xdr:from>
    <xdr:to>
      <xdr:col>5</xdr:col>
      <xdr:colOff>640080</xdr:colOff>
      <xdr:row>11</xdr:row>
      <xdr:rowOff>190500</xdr:rowOff>
    </xdr:to>
    <xdr:sp macro="" textlink="">
      <xdr:nvSpPr>
        <xdr:cNvPr id="11" name="Right Arrow 10"/>
        <xdr:cNvSpPr/>
      </xdr:nvSpPr>
      <xdr:spPr>
        <a:xfrm>
          <a:off x="6690360" y="332994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464820</xdr:colOff>
      <xdr:row>12</xdr:row>
      <xdr:rowOff>99060</xdr:rowOff>
    </xdr:from>
    <xdr:to>
      <xdr:col>5</xdr:col>
      <xdr:colOff>640080</xdr:colOff>
      <xdr:row>12</xdr:row>
      <xdr:rowOff>182880</xdr:rowOff>
    </xdr:to>
    <xdr:sp macro="" textlink="">
      <xdr:nvSpPr>
        <xdr:cNvPr id="12" name="Right Arrow 11"/>
        <xdr:cNvSpPr/>
      </xdr:nvSpPr>
      <xdr:spPr>
        <a:xfrm>
          <a:off x="6690360" y="337566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472440</xdr:colOff>
      <xdr:row>13</xdr:row>
      <xdr:rowOff>114300</xdr:rowOff>
    </xdr:from>
    <xdr:to>
      <xdr:col>5</xdr:col>
      <xdr:colOff>647700</xdr:colOff>
      <xdr:row>13</xdr:row>
      <xdr:rowOff>198120</xdr:rowOff>
    </xdr:to>
    <xdr:sp macro="" textlink="">
      <xdr:nvSpPr>
        <xdr:cNvPr id="13" name="Right Arrow 12"/>
        <xdr:cNvSpPr/>
      </xdr:nvSpPr>
      <xdr:spPr>
        <a:xfrm>
          <a:off x="6697980" y="361950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480060</xdr:colOff>
      <xdr:row>14</xdr:row>
      <xdr:rowOff>99060</xdr:rowOff>
    </xdr:from>
    <xdr:to>
      <xdr:col>5</xdr:col>
      <xdr:colOff>655320</xdr:colOff>
      <xdr:row>14</xdr:row>
      <xdr:rowOff>182880</xdr:rowOff>
    </xdr:to>
    <xdr:sp macro="" textlink="">
      <xdr:nvSpPr>
        <xdr:cNvPr id="14" name="Right Arrow 13"/>
        <xdr:cNvSpPr/>
      </xdr:nvSpPr>
      <xdr:spPr>
        <a:xfrm>
          <a:off x="6705600" y="383286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487680</xdr:colOff>
      <xdr:row>15</xdr:row>
      <xdr:rowOff>91440</xdr:rowOff>
    </xdr:from>
    <xdr:to>
      <xdr:col>5</xdr:col>
      <xdr:colOff>662940</xdr:colOff>
      <xdr:row>15</xdr:row>
      <xdr:rowOff>175260</xdr:rowOff>
    </xdr:to>
    <xdr:sp macro="" textlink="">
      <xdr:nvSpPr>
        <xdr:cNvPr id="15" name="Right Arrow 14"/>
        <xdr:cNvSpPr/>
      </xdr:nvSpPr>
      <xdr:spPr>
        <a:xfrm>
          <a:off x="6713220" y="405384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480060</xdr:colOff>
      <xdr:row>16</xdr:row>
      <xdr:rowOff>106680</xdr:rowOff>
    </xdr:from>
    <xdr:to>
      <xdr:col>5</xdr:col>
      <xdr:colOff>655320</xdr:colOff>
      <xdr:row>16</xdr:row>
      <xdr:rowOff>190500</xdr:rowOff>
    </xdr:to>
    <xdr:sp macro="" textlink="">
      <xdr:nvSpPr>
        <xdr:cNvPr id="16" name="Right Arrow 15"/>
        <xdr:cNvSpPr/>
      </xdr:nvSpPr>
      <xdr:spPr>
        <a:xfrm>
          <a:off x="6705600" y="430530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480060</xdr:colOff>
      <xdr:row>17</xdr:row>
      <xdr:rowOff>114300</xdr:rowOff>
    </xdr:from>
    <xdr:to>
      <xdr:col>5</xdr:col>
      <xdr:colOff>655320</xdr:colOff>
      <xdr:row>17</xdr:row>
      <xdr:rowOff>198120</xdr:rowOff>
    </xdr:to>
    <xdr:sp macro="" textlink="">
      <xdr:nvSpPr>
        <xdr:cNvPr id="17" name="Right Arrow 16"/>
        <xdr:cNvSpPr/>
      </xdr:nvSpPr>
      <xdr:spPr>
        <a:xfrm>
          <a:off x="6705600" y="4541520"/>
          <a:ext cx="175260" cy="83820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167640</xdr:colOff>
      <xdr:row>36</xdr:row>
      <xdr:rowOff>76199</xdr:rowOff>
    </xdr:from>
    <xdr:to>
      <xdr:col>4</xdr:col>
      <xdr:colOff>502920</xdr:colOff>
      <xdr:row>46</xdr:row>
      <xdr:rowOff>289560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231379"/>
          <a:ext cx="4046220" cy="2194561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36</xdr:row>
      <xdr:rowOff>76200</xdr:rowOff>
    </xdr:from>
    <xdr:to>
      <xdr:col>11</xdr:col>
      <xdr:colOff>480059</xdr:colOff>
      <xdr:row>46</xdr:row>
      <xdr:rowOff>291667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231380"/>
          <a:ext cx="3985259" cy="2196667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15</xdr:row>
      <xdr:rowOff>60960</xdr:rowOff>
    </xdr:from>
    <xdr:to>
      <xdr:col>3</xdr:col>
      <xdr:colOff>0</xdr:colOff>
      <xdr:row>23</xdr:row>
      <xdr:rowOff>0</xdr:rowOff>
    </xdr:to>
    <xdr:sp macro="" textlink="">
      <xdr:nvSpPr>
        <xdr:cNvPr id="6" name="Rectangle 5"/>
        <xdr:cNvSpPr/>
      </xdr:nvSpPr>
      <xdr:spPr>
        <a:xfrm>
          <a:off x="304800" y="2971800"/>
          <a:ext cx="3086100" cy="15087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Retail Banking</a:t>
          </a:r>
        </a:p>
        <a:p>
          <a:pPr algn="l"/>
          <a:endParaRPr lang="en-US" sz="11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100" b="1" i="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Divizia pentru persoane fizice propune clienților săi o gamă completă de servicii și produse și o serie de inovații precum ING Home’Bank, ING Self’Bank sau ING Bazar. De asemenea, rețeaua ING Office este la dispoziția clienților 24h/24, 7 zile pe săptămâna.</a:t>
          </a:r>
          <a:endParaRPr lang="en-US" sz="11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137160</xdr:colOff>
      <xdr:row>15</xdr:row>
      <xdr:rowOff>38100</xdr:rowOff>
    </xdr:from>
    <xdr:to>
      <xdr:col>8</xdr:col>
      <xdr:colOff>601980</xdr:colOff>
      <xdr:row>23</xdr:row>
      <xdr:rowOff>0</xdr:rowOff>
    </xdr:to>
    <xdr:sp macro="" textlink="">
      <xdr:nvSpPr>
        <xdr:cNvPr id="10" name="Rectangle 9"/>
        <xdr:cNvSpPr/>
      </xdr:nvSpPr>
      <xdr:spPr>
        <a:xfrm>
          <a:off x="4137660" y="2948940"/>
          <a:ext cx="2903220" cy="153162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Wholesale Banking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Servește companii mari (cu cifra de afaceri de peste 100 milioane euro), companii multinaționale și instituții financiare. În cadrul diviziei, abordarea sectorială reprezintă un factor de bază.</a:t>
          </a:r>
          <a:endParaRPr lang="en-US" sz="12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22860</xdr:rowOff>
    </xdr:from>
    <xdr:to>
      <xdr:col>14</xdr:col>
      <xdr:colOff>495300</xdr:colOff>
      <xdr:row>22</xdr:row>
      <xdr:rowOff>167640</xdr:rowOff>
    </xdr:to>
    <xdr:sp macro="" textlink="">
      <xdr:nvSpPr>
        <xdr:cNvPr id="11" name="Rectangle 10"/>
        <xdr:cNvSpPr/>
      </xdr:nvSpPr>
      <xdr:spPr>
        <a:xfrm>
          <a:off x="7658100" y="2933700"/>
          <a:ext cx="2933700" cy="153162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Mid</a:t>
          </a:r>
          <a:r>
            <a:rPr lang="en-US" sz="1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Corporate Banking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baseline="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Servește companii de dimensiuni medii (cu cifra de afaceri între 0.5 - 100 milioane euro) printr-o rețea de sucursale națională și instrumente de online banking adaptate nevoilor antreprenorilor.</a:t>
          </a:r>
          <a:endParaRPr lang="en-US" sz="12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198120</xdr:colOff>
      <xdr:row>7</xdr:row>
      <xdr:rowOff>83820</xdr:rowOff>
    </xdr:from>
    <xdr:to>
      <xdr:col>1</xdr:col>
      <xdr:colOff>434340</xdr:colOff>
      <xdr:row>7</xdr:row>
      <xdr:rowOff>205740</xdr:rowOff>
    </xdr:to>
    <xdr:sp macro="" textlink="">
      <xdr:nvSpPr>
        <xdr:cNvPr id="5" name="Notched Right Arrow 4"/>
        <xdr:cNvSpPr/>
      </xdr:nvSpPr>
      <xdr:spPr>
        <a:xfrm>
          <a:off x="487680" y="1623060"/>
          <a:ext cx="236220" cy="121920"/>
        </a:xfrm>
        <a:prstGeom prst="notchedRightArrow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C570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304800</xdr:colOff>
      <xdr:row>26</xdr:row>
      <xdr:rowOff>83820</xdr:rowOff>
    </xdr:from>
    <xdr:to>
      <xdr:col>1</xdr:col>
      <xdr:colOff>541020</xdr:colOff>
      <xdr:row>26</xdr:row>
      <xdr:rowOff>205740</xdr:rowOff>
    </xdr:to>
    <xdr:sp macro="" textlink="">
      <xdr:nvSpPr>
        <xdr:cNvPr id="12" name="Notched Right Arrow 11"/>
        <xdr:cNvSpPr/>
      </xdr:nvSpPr>
      <xdr:spPr>
        <a:xfrm>
          <a:off x="594360" y="5143500"/>
          <a:ext cx="236220" cy="121920"/>
        </a:xfrm>
        <a:prstGeom prst="notchedRightArrow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C570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480060</xdr:colOff>
      <xdr:row>48</xdr:row>
      <xdr:rowOff>53340</xdr:rowOff>
    </xdr:from>
    <xdr:to>
      <xdr:col>4</xdr:col>
      <xdr:colOff>624840</xdr:colOff>
      <xdr:row>48</xdr:row>
      <xdr:rowOff>190500</xdr:rowOff>
    </xdr:to>
    <xdr:sp macro="" textlink="">
      <xdr:nvSpPr>
        <xdr:cNvPr id="8" name="5-Point Star 7"/>
        <xdr:cNvSpPr/>
      </xdr:nvSpPr>
      <xdr:spPr>
        <a:xfrm>
          <a:off x="4480560" y="10043160"/>
          <a:ext cx="144780" cy="137160"/>
        </a:xfrm>
        <a:prstGeom prst="star5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 editAs="oneCell">
    <xdr:from>
      <xdr:col>14</xdr:col>
      <xdr:colOff>373381</xdr:colOff>
      <xdr:row>31</xdr:row>
      <xdr:rowOff>289882</xdr:rowOff>
    </xdr:from>
    <xdr:to>
      <xdr:col>15</xdr:col>
      <xdr:colOff>243840</xdr:colOff>
      <xdr:row>34</xdr:row>
      <xdr:rowOff>6418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8461" y="6789742"/>
          <a:ext cx="586739" cy="4480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57150</xdr:rowOff>
    </xdr:from>
    <xdr:to>
      <xdr:col>9</xdr:col>
      <xdr:colOff>708660</xdr:colOff>
      <xdr:row>55</xdr:row>
      <xdr:rowOff>53340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10</xdr:col>
      <xdr:colOff>274320</xdr:colOff>
      <xdr:row>29</xdr:row>
      <xdr:rowOff>26670</xdr:rowOff>
    </xdr:from>
    <xdr:to>
      <xdr:col>12</xdr:col>
      <xdr:colOff>624840</xdr:colOff>
      <xdr:row>41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13</xdr:row>
      <xdr:rowOff>102870</xdr:rowOff>
    </xdr:from>
    <xdr:to>
      <xdr:col>6</xdr:col>
      <xdr:colOff>99060</xdr:colOff>
      <xdr:row>28</xdr:row>
      <xdr:rowOff>102870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13</xdr:row>
      <xdr:rowOff>110490</xdr:rowOff>
    </xdr:from>
    <xdr:to>
      <xdr:col>15</xdr:col>
      <xdr:colOff>358140</xdr:colOff>
      <xdr:row>28</xdr:row>
      <xdr:rowOff>110490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243841</xdr:colOff>
      <xdr:row>39</xdr:row>
      <xdr:rowOff>60960</xdr:rowOff>
    </xdr:from>
    <xdr:to>
      <xdr:col>11</xdr:col>
      <xdr:colOff>1188720</xdr:colOff>
      <xdr:row>50</xdr:row>
      <xdr:rowOff>121920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510540</xdr:colOff>
      <xdr:row>8</xdr:row>
      <xdr:rowOff>60960</xdr:rowOff>
    </xdr:from>
    <xdr:to>
      <xdr:col>18</xdr:col>
      <xdr:colOff>518160</xdr:colOff>
      <xdr:row>10</xdr:row>
      <xdr:rowOff>129540</xdr:rowOff>
    </xdr:to>
    <xdr:sp macro="" textlink="">
      <xdr:nvSpPr>
        <xdr:cNvPr id="2" name="Right Arrow 1"/>
        <xdr:cNvSpPr/>
      </xdr:nvSpPr>
      <xdr:spPr>
        <a:xfrm>
          <a:off x="11163300" y="1402080"/>
          <a:ext cx="807720" cy="434340"/>
        </a:xfrm>
        <a:prstGeom prst="rightArrow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Britannic Bold" panose="020B0903060703020204" pitchFamily="34" charset="0"/>
            </a:rPr>
            <a:t>Iesire</a:t>
          </a:r>
        </a:p>
      </xdr:txBody>
    </xdr:sp>
    <xdr:clientData/>
  </xdr:twoCellAnchor>
  <xdr:twoCellAnchor>
    <xdr:from>
      <xdr:col>17</xdr:col>
      <xdr:colOff>579120</xdr:colOff>
      <xdr:row>27</xdr:row>
      <xdr:rowOff>114300</xdr:rowOff>
    </xdr:from>
    <xdr:to>
      <xdr:col>18</xdr:col>
      <xdr:colOff>541020</xdr:colOff>
      <xdr:row>29</xdr:row>
      <xdr:rowOff>152400</xdr:rowOff>
    </xdr:to>
    <xdr:sp macro="" textlink="">
      <xdr:nvSpPr>
        <xdr:cNvPr id="5" name="Right Arrow 4"/>
        <xdr:cNvSpPr/>
      </xdr:nvSpPr>
      <xdr:spPr>
        <a:xfrm>
          <a:off x="11231880" y="4914900"/>
          <a:ext cx="762000" cy="411480"/>
        </a:xfrm>
        <a:prstGeom prst="rightArrow">
          <a:avLst/>
        </a:prstGeom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Britannic Bold" panose="020B0903060703020204" pitchFamily="34" charset="0"/>
            </a:rPr>
            <a:t>Iesire</a:t>
          </a:r>
        </a:p>
      </xdr:txBody>
    </xdr:sp>
    <xdr:clientData/>
  </xdr:twoCellAnchor>
  <xdr:twoCellAnchor>
    <xdr:from>
      <xdr:col>9</xdr:col>
      <xdr:colOff>487680</xdr:colOff>
      <xdr:row>17</xdr:row>
      <xdr:rowOff>68580</xdr:rowOff>
    </xdr:from>
    <xdr:to>
      <xdr:col>9</xdr:col>
      <xdr:colOff>739140</xdr:colOff>
      <xdr:row>18</xdr:row>
      <xdr:rowOff>144780</xdr:rowOff>
    </xdr:to>
    <xdr:sp macro="" textlink="">
      <xdr:nvSpPr>
        <xdr:cNvPr id="6" name="&quot;No&quot; Symbol 5"/>
        <xdr:cNvSpPr/>
      </xdr:nvSpPr>
      <xdr:spPr>
        <a:xfrm>
          <a:off x="5981700" y="3192780"/>
          <a:ext cx="251460" cy="243840"/>
        </a:xfrm>
        <a:prstGeom prst="noSmoking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510540</xdr:colOff>
      <xdr:row>33</xdr:row>
      <xdr:rowOff>60960</xdr:rowOff>
    </xdr:from>
    <xdr:to>
      <xdr:col>9</xdr:col>
      <xdr:colOff>731520</xdr:colOff>
      <xdr:row>34</xdr:row>
      <xdr:rowOff>83820</xdr:rowOff>
    </xdr:to>
    <xdr:sp macro="" textlink="">
      <xdr:nvSpPr>
        <xdr:cNvPr id="7" name="&quot;No&quot; Symbol 6"/>
        <xdr:cNvSpPr/>
      </xdr:nvSpPr>
      <xdr:spPr>
        <a:xfrm>
          <a:off x="6004560" y="6164580"/>
          <a:ext cx="220980" cy="213360"/>
        </a:xfrm>
        <a:prstGeom prst="noSmoking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45720</xdr:colOff>
      <xdr:row>23</xdr:row>
      <xdr:rowOff>38100</xdr:rowOff>
    </xdr:from>
    <xdr:to>
      <xdr:col>5</xdr:col>
      <xdr:colOff>281940</xdr:colOff>
      <xdr:row>24</xdr:row>
      <xdr:rowOff>68580</xdr:rowOff>
    </xdr:to>
    <xdr:sp macro="" textlink="">
      <xdr:nvSpPr>
        <xdr:cNvPr id="8" name="Plus 7"/>
        <xdr:cNvSpPr/>
      </xdr:nvSpPr>
      <xdr:spPr>
        <a:xfrm>
          <a:off x="3360420" y="4259580"/>
          <a:ext cx="236220" cy="220980"/>
        </a:xfrm>
        <a:prstGeom prst="mathPlus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91440</xdr:colOff>
      <xdr:row>22</xdr:row>
      <xdr:rowOff>175260</xdr:rowOff>
    </xdr:from>
    <xdr:to>
      <xdr:col>10</xdr:col>
      <xdr:colOff>297180</xdr:colOff>
      <xdr:row>24</xdr:row>
      <xdr:rowOff>106680</xdr:rowOff>
    </xdr:to>
    <xdr:sp macro="" textlink="">
      <xdr:nvSpPr>
        <xdr:cNvPr id="9" name="Minus 8"/>
        <xdr:cNvSpPr/>
      </xdr:nvSpPr>
      <xdr:spPr>
        <a:xfrm>
          <a:off x="6400800" y="4206240"/>
          <a:ext cx="205740" cy="312420"/>
        </a:xfrm>
        <a:prstGeom prst="mathMinu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68580</xdr:colOff>
      <xdr:row>23</xdr:row>
      <xdr:rowOff>45720</xdr:rowOff>
    </xdr:from>
    <xdr:to>
      <xdr:col>15</xdr:col>
      <xdr:colOff>274320</xdr:colOff>
      <xdr:row>24</xdr:row>
      <xdr:rowOff>76200</xdr:rowOff>
    </xdr:to>
    <xdr:sp macro="" textlink="">
      <xdr:nvSpPr>
        <xdr:cNvPr id="10" name="Multiply 9"/>
        <xdr:cNvSpPr/>
      </xdr:nvSpPr>
      <xdr:spPr>
        <a:xfrm>
          <a:off x="9631680" y="4267200"/>
          <a:ext cx="205740" cy="220980"/>
        </a:xfrm>
        <a:prstGeom prst="mathMultiply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525780</xdr:colOff>
      <xdr:row>23</xdr:row>
      <xdr:rowOff>182880</xdr:rowOff>
    </xdr:from>
    <xdr:to>
      <xdr:col>2</xdr:col>
      <xdr:colOff>152400</xdr:colOff>
      <xdr:row>26</xdr:row>
      <xdr:rowOff>10668</xdr:rowOff>
    </xdr:to>
    <xdr:sp macro="" textlink="">
      <xdr:nvSpPr>
        <xdr:cNvPr id="4" name="Up Arrow 3"/>
        <xdr:cNvSpPr/>
      </xdr:nvSpPr>
      <xdr:spPr>
        <a:xfrm>
          <a:off x="1135380" y="4404360"/>
          <a:ext cx="236220" cy="384048"/>
        </a:xfrm>
        <a:prstGeom prst="upArrow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2DE61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533400</xdr:colOff>
      <xdr:row>38</xdr:row>
      <xdr:rowOff>152400</xdr:rowOff>
    </xdr:from>
    <xdr:to>
      <xdr:col>2</xdr:col>
      <xdr:colOff>160020</xdr:colOff>
      <xdr:row>40</xdr:row>
      <xdr:rowOff>170688</xdr:rowOff>
    </xdr:to>
    <xdr:sp macro="" textlink="">
      <xdr:nvSpPr>
        <xdr:cNvPr id="11" name="Up Arrow 10"/>
        <xdr:cNvSpPr/>
      </xdr:nvSpPr>
      <xdr:spPr>
        <a:xfrm>
          <a:off x="1143000" y="7185660"/>
          <a:ext cx="236220" cy="384048"/>
        </a:xfrm>
        <a:prstGeom prst="upArrow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2DE61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10</xdr:row>
      <xdr:rowOff>91440</xdr:rowOff>
    </xdr:from>
    <xdr:to>
      <xdr:col>5</xdr:col>
      <xdr:colOff>464820</xdr:colOff>
      <xdr:row>11</xdr:row>
      <xdr:rowOff>121920</xdr:rowOff>
    </xdr:to>
    <xdr:sp macro="" textlink="">
      <xdr:nvSpPr>
        <xdr:cNvPr id="12" name="Right Arrow 11"/>
        <xdr:cNvSpPr/>
      </xdr:nvSpPr>
      <xdr:spPr>
        <a:xfrm>
          <a:off x="3383280" y="1821180"/>
          <a:ext cx="396240" cy="220980"/>
        </a:xfrm>
        <a:prstGeom prst="rightArrow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2DE61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38100</xdr:colOff>
      <xdr:row>18</xdr:row>
      <xdr:rowOff>38101</xdr:rowOff>
    </xdr:from>
    <xdr:to>
      <xdr:col>4</xdr:col>
      <xdr:colOff>327660</xdr:colOff>
      <xdr:row>19</xdr:row>
      <xdr:rowOff>145505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743200" y="3329941"/>
          <a:ext cx="289560" cy="290284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4</xdr:row>
      <xdr:rowOff>53341</xdr:rowOff>
    </xdr:from>
    <xdr:to>
      <xdr:col>4</xdr:col>
      <xdr:colOff>326975</xdr:colOff>
      <xdr:row>5</xdr:row>
      <xdr:rowOff>144780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8440" y="640081"/>
          <a:ext cx="273635" cy="274319"/>
        </a:xfrm>
        <a:prstGeom prst="rect">
          <a:avLst/>
        </a:prstGeom>
      </xdr:spPr>
    </xdr:pic>
    <xdr:clientData/>
  </xdr:twoCellAnchor>
  <xdr:twoCellAnchor editAs="oneCell">
    <xdr:from>
      <xdr:col>11</xdr:col>
      <xdr:colOff>259080</xdr:colOff>
      <xdr:row>7</xdr:row>
      <xdr:rowOff>190500</xdr:rowOff>
    </xdr:from>
    <xdr:to>
      <xdr:col>17</xdr:col>
      <xdr:colOff>137160</xdr:colOff>
      <xdr:row>13</xdr:row>
      <xdr:rowOff>251460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341120"/>
          <a:ext cx="3611880" cy="1203960"/>
        </a:xfrm>
        <a:prstGeom prst="rect">
          <a:avLst/>
        </a:prstGeom>
      </xdr:spPr>
    </xdr:pic>
    <xdr:clientData/>
  </xdr:twoCellAnchor>
  <xdr:oneCellAnchor>
    <xdr:from>
      <xdr:col>14</xdr:col>
      <xdr:colOff>403860</xdr:colOff>
      <xdr:row>16</xdr:row>
      <xdr:rowOff>68580</xdr:rowOff>
    </xdr:from>
    <xdr:ext cx="184731" cy="264560"/>
    <xdr:sp macro="" textlink="">
      <xdr:nvSpPr>
        <xdr:cNvPr id="18" name="TextBox 17"/>
        <xdr:cNvSpPr txBox="1"/>
      </xdr:nvSpPr>
      <xdr:spPr>
        <a:xfrm>
          <a:off x="9403080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19</xdr:col>
      <xdr:colOff>281940</xdr:colOff>
      <xdr:row>5</xdr:row>
      <xdr:rowOff>38101</xdr:rowOff>
    </xdr:from>
    <xdr:to>
      <xdr:col>20</xdr:col>
      <xdr:colOff>355423</xdr:colOff>
      <xdr:row>7</xdr:row>
      <xdr:rowOff>182880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120141"/>
          <a:ext cx="744043" cy="525779"/>
        </a:xfrm>
        <a:prstGeom prst="rect">
          <a:avLst/>
        </a:prstGeom>
      </xdr:spPr>
    </xdr:pic>
    <xdr:clientData/>
  </xdr:twoCellAnchor>
  <xdr:twoCellAnchor editAs="oneCell">
    <xdr:from>
      <xdr:col>19</xdr:col>
      <xdr:colOff>312420</xdr:colOff>
      <xdr:row>24</xdr:row>
      <xdr:rowOff>7620</xdr:rowOff>
    </xdr:from>
    <xdr:to>
      <xdr:col>20</xdr:col>
      <xdr:colOff>385903</xdr:colOff>
      <xdr:row>26</xdr:row>
      <xdr:rowOff>167639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4880" y="4724400"/>
          <a:ext cx="744043" cy="525779"/>
        </a:xfrm>
        <a:prstGeom prst="rect">
          <a:avLst/>
        </a:prstGeom>
      </xdr:spPr>
    </xdr:pic>
    <xdr:clientData/>
  </xdr:twoCellAnchor>
  <xdr:twoCellAnchor editAs="oneCell">
    <xdr:from>
      <xdr:col>18</xdr:col>
      <xdr:colOff>68581</xdr:colOff>
      <xdr:row>19</xdr:row>
      <xdr:rowOff>115038</xdr:rowOff>
    </xdr:from>
    <xdr:to>
      <xdr:col>18</xdr:col>
      <xdr:colOff>601980</xdr:colOff>
      <xdr:row>21</xdr:row>
      <xdr:rowOff>156601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1441" y="3902178"/>
          <a:ext cx="533399" cy="4073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144781</xdr:colOff>
      <xdr:row>3</xdr:row>
      <xdr:rowOff>45722</xdr:rowOff>
    </xdr:from>
    <xdr:to>
      <xdr:col>1</xdr:col>
      <xdr:colOff>480061</xdr:colOff>
      <xdr:row>3</xdr:row>
      <xdr:rowOff>238762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769622"/>
          <a:ext cx="335280" cy="19304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4</xdr:row>
      <xdr:rowOff>53340</xdr:rowOff>
    </xdr:from>
    <xdr:to>
      <xdr:col>1</xdr:col>
      <xdr:colOff>479581</xdr:colOff>
      <xdr:row>4</xdr:row>
      <xdr:rowOff>226992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1043940"/>
          <a:ext cx="334800" cy="173652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160023</xdr:colOff>
      <xdr:row>5</xdr:row>
      <xdr:rowOff>53342</xdr:rowOff>
    </xdr:from>
    <xdr:to>
      <xdr:col>1</xdr:col>
      <xdr:colOff>494823</xdr:colOff>
      <xdr:row>5</xdr:row>
      <xdr:rowOff>234464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3" y="1310642"/>
          <a:ext cx="334800" cy="18112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60960</xdr:rowOff>
    </xdr:from>
    <xdr:to>
      <xdr:col>1</xdr:col>
      <xdr:colOff>487200</xdr:colOff>
      <xdr:row>6</xdr:row>
      <xdr:rowOff>284160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1600200"/>
          <a:ext cx="334800" cy="223200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7</xdr:row>
      <xdr:rowOff>60961</xdr:rowOff>
    </xdr:from>
    <xdr:to>
      <xdr:col>1</xdr:col>
      <xdr:colOff>502440</xdr:colOff>
      <xdr:row>7</xdr:row>
      <xdr:rowOff>267540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" y="1920241"/>
          <a:ext cx="334800" cy="206579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167641</xdr:colOff>
      <xdr:row>8</xdr:row>
      <xdr:rowOff>60959</xdr:rowOff>
    </xdr:from>
    <xdr:to>
      <xdr:col>1</xdr:col>
      <xdr:colOff>502441</xdr:colOff>
      <xdr:row>8</xdr:row>
      <xdr:rowOff>261074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1" y="2232659"/>
          <a:ext cx="334800" cy="200115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9</xdr:row>
      <xdr:rowOff>45720</xdr:rowOff>
    </xdr:from>
    <xdr:to>
      <xdr:col>1</xdr:col>
      <xdr:colOff>508692</xdr:colOff>
      <xdr:row>9</xdr:row>
      <xdr:rowOff>243840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2514600"/>
          <a:ext cx="348672" cy="198120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10</xdr:row>
      <xdr:rowOff>30481</xdr:rowOff>
    </xdr:from>
    <xdr:to>
      <xdr:col>1</xdr:col>
      <xdr:colOff>502919</xdr:colOff>
      <xdr:row>10</xdr:row>
      <xdr:rowOff>250150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3025141"/>
          <a:ext cx="342899" cy="219669"/>
        </a:xfrm>
        <a:prstGeom prst="rect">
          <a:avLst/>
        </a:prstGeom>
      </xdr:spPr>
    </xdr:pic>
    <xdr:clientData/>
  </xdr:twoCellAnchor>
  <xdr:twoCellAnchor editAs="oneCell">
    <xdr:from>
      <xdr:col>1</xdr:col>
      <xdr:colOff>167639</xdr:colOff>
      <xdr:row>11</xdr:row>
      <xdr:rowOff>60961</xdr:rowOff>
    </xdr:from>
    <xdr:to>
      <xdr:col>1</xdr:col>
      <xdr:colOff>502439</xdr:colOff>
      <xdr:row>11</xdr:row>
      <xdr:rowOff>269080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59" y="3124201"/>
          <a:ext cx="334800" cy="20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160021</xdr:colOff>
      <xdr:row>12</xdr:row>
      <xdr:rowOff>45721</xdr:rowOff>
    </xdr:from>
    <xdr:to>
      <xdr:col>1</xdr:col>
      <xdr:colOff>494821</xdr:colOff>
      <xdr:row>12</xdr:row>
      <xdr:rowOff>255024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1" y="3421381"/>
          <a:ext cx="334800" cy="2093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22</xdr:row>
      <xdr:rowOff>11430</xdr:rowOff>
    </xdr:from>
    <xdr:to>
      <xdr:col>9</xdr:col>
      <xdr:colOff>106680</xdr:colOff>
      <xdr:row>33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80010</xdr:rowOff>
    </xdr:from>
    <xdr:to>
      <xdr:col>17</xdr:col>
      <xdr:colOff>525780</xdr:colOff>
      <xdr:row>16</xdr:row>
      <xdr:rowOff>156210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441960</xdr:colOff>
      <xdr:row>20</xdr:row>
      <xdr:rowOff>171450</xdr:rowOff>
    </xdr:from>
    <xdr:to>
      <xdr:col>18</xdr:col>
      <xdr:colOff>106680</xdr:colOff>
      <xdr:row>35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3969.065118402781" createdVersion="5" refreshedVersion="5" minRefreshableVersion="3" recordCount="23">
  <cacheSource type="worksheet">
    <worksheetSource ref="A3:N26" sheet="Import clienti txt"/>
  </cacheSource>
  <cacheFields count="14">
    <cacheField name="Nume client" numFmtId="0">
      <sharedItems count="21">
        <s v="Popescu"/>
        <s v="Ionescu"/>
        <s v="Clopa"/>
        <s v="Stefan"/>
        <s v="Gheorge"/>
        <s v="Alexa"/>
        <s v="Oprea"/>
        <s v="Vasile"/>
        <s v="Vlad"/>
        <s v="Posca"/>
        <s v="Popa"/>
        <s v="Marica"/>
        <s v="Valeriu"/>
        <s v="Pircu"/>
        <s v="Goca"/>
        <s v="Vinca"/>
        <s v="Jopa"/>
        <s v="Bop" u="1"/>
        <s v="Vicentiu" u="1"/>
        <s v="Andreescu" u="1"/>
        <s v="Giga" u="1"/>
      </sharedItems>
    </cacheField>
    <cacheField name="Prenume client" numFmtId="0">
      <sharedItems/>
    </cacheField>
    <cacheField name="CNP client" numFmtId="49">
      <sharedItems/>
    </cacheField>
    <cacheField name="Adresa client" numFmtId="0">
      <sharedItems/>
    </cacheField>
    <cacheField name="Telefon" numFmtId="0">
      <sharedItems containsSemiMixedTypes="0" containsString="0" containsNumber="1" containsInteger="1" minValue="721343552" maxValue="781783832" count="21">
        <n v="751793004"/>
        <n v="763704432"/>
        <n v="754704232"/>
        <n v="732753622"/>
        <n v="721343552"/>
        <n v="751793039"/>
        <n v="751794432"/>
        <n v="753703032"/>
        <n v="751733422"/>
        <n v="721603032"/>
        <n v="756523332"/>
        <n v="781783832"/>
        <n v="722743432"/>
        <n v="750393032"/>
        <n v="757743052"/>
        <n v="733795032"/>
        <n v="751733032"/>
        <n v="751293032" u="1"/>
        <n v="758394332" u="1"/>
        <n v="733794032" u="1"/>
        <n v="733792032" u="1"/>
      </sharedItems>
    </cacheField>
    <cacheField name="Mail" numFmtId="0">
      <sharedItems count="21">
        <s v="popescu.mihai@yahoo.com"/>
        <s v="dianamariaionescu@gmail.com"/>
        <s v="mariaclopa@yahoo.com"/>
        <s v="stefn_vasile@yahoo.com"/>
        <s v="ionmariangheorge@yahoo.com"/>
        <s v="alexa.ioana@yahoo.com"/>
        <s v="oprea.patricia@yahoo.com"/>
        <s v="vasile_alexandra@yahoo.com"/>
        <s v="vlad.andrei@gmail.com"/>
        <s v="poscadarius12@gmail.com"/>
        <s v="popaghoerghe20@yahoo.ro"/>
        <s v="marica20stefania@gmail.com"/>
        <s v="valeriuandrei.mihai@yahoo.com"/>
        <s v="pircu_andrei_daniel@yahoo.ro"/>
        <s v="gocamarian@yahoo.ro"/>
        <s v="vinca_maria@yahoo.ro"/>
        <s v="jospamariana@gmail.com"/>
        <s v="mihai.vicentiu@yahoo.com" u="1"/>
        <s v="gigamarius1@yahoo.com" u="1"/>
        <s v="bop_mihai@gmail.com" u="1"/>
        <s v="andreescumiahiilie@gmail.ro" u="1"/>
      </sharedItems>
    </cacheField>
    <cacheField name="Tip Credit" numFmtId="0">
      <sharedItems count="6">
        <s v="Prima casa"/>
        <s v="Credit Imobiliar"/>
        <s v="Credit de nevoi personale"/>
        <s v="Credit auto"/>
        <s v="Credit Imobliliar"/>
        <s v="Credit de nevoi persoanle" u="1"/>
      </sharedItems>
    </cacheField>
    <cacheField name="Numar ani credit" numFmtId="0">
      <sharedItems containsSemiMixedTypes="0" containsString="0" containsNumber="1" containsInteger="1" minValue="1" maxValue="30"/>
    </cacheField>
    <cacheField name="Valoare credit (RON)" numFmtId="3">
      <sharedItems containsSemiMixedTypes="0" containsString="0" containsNumber="1" containsInteger="1" minValue="5000" maxValue="250000"/>
    </cacheField>
    <cacheField name="Data intocmire credit" numFmtId="15">
      <sharedItems containsSemiMixedTypes="0" containsNonDate="0" containsDate="1" containsString="0" minDate="2000-02-02T00:00:00" maxDate="2021-10-21T00:00:00" count="23">
        <d v="2007-12-12T00:00:00"/>
        <d v="2005-10-07T00:00:00"/>
        <d v="2018-04-13T00:00:00"/>
        <d v="2013-07-06T00:00:00"/>
        <d v="2016-01-01T00:00:00"/>
        <d v="2020-03-08T00:00:00"/>
        <d v="2000-02-02T00:00:00"/>
        <d v="2019-12-20T00:00:00"/>
        <d v="2017-02-19T00:00:00"/>
        <d v="2015-09-15T00:00:00"/>
        <d v="2017-03-02T00:00:00"/>
        <d v="2020-04-21T00:00:00"/>
        <d v="2018-09-09T00:00:00"/>
        <d v="2018-07-16T00:00:00"/>
        <d v="2021-10-20T00:00:00"/>
        <d v="2017-01-02T00:00:00"/>
        <d v="2009-03-12T00:00:00"/>
        <d v="2010-08-05T00:00:00"/>
        <d v="2012-09-10T00:00:00"/>
        <d v="2012-04-12T00:00:00"/>
        <d v="2000-10-20T00:00:00"/>
        <d v="2020-02-14T00:00:00"/>
        <d v="2016-02-07T00:00:00"/>
      </sharedItems>
    </cacheField>
    <cacheField name="Ora" numFmtId="20">
      <sharedItems containsSemiMixedTypes="0" containsNonDate="0" containsDate="1" containsString="0" minDate="1899-12-30T08:50:00" maxDate="1899-12-30T16:30:00"/>
    </cacheField>
    <cacheField name="Agent" numFmtId="0">
      <sharedItems/>
    </cacheField>
    <cacheField name="Feedback client" numFmtId="0">
      <sharedItems/>
    </cacheField>
    <cacheField name="Cod Client" numFmtId="0">
      <sharedItems count="21">
        <s v="C101"/>
        <s v="C102"/>
        <s v="C103"/>
        <s v="C104"/>
        <s v="C105"/>
        <s v="C108"/>
        <s v="C107"/>
        <s v="C109"/>
        <s v="C110"/>
        <s v="C119"/>
        <s v="C112"/>
        <s v="C113"/>
        <s v="C114"/>
        <s v="C115"/>
        <s v="C117"/>
        <s v="C118"/>
        <s v="C120"/>
        <s v="C111" u="1"/>
        <s v="C121" u="1"/>
        <s v="C106" u="1"/>
        <s v="C11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s v="Mihai"/>
    <s v="1931212329022"/>
    <s v="Sibiu str. Vasile Milea nr13"/>
    <x v="0"/>
    <x v="0"/>
    <x v="0"/>
    <n v="30"/>
    <n v="200000"/>
    <x v="0"/>
    <d v="1899-12-30T12:47:00"/>
    <s v="Bogdan Boteanu"/>
    <s v="Partial multumit"/>
    <x v="0"/>
  </r>
  <r>
    <x v="1"/>
    <s v="Diana"/>
    <s v="2950713322028"/>
    <s v="Sibiu str. Postop bl5 ap5"/>
    <x v="1"/>
    <x v="1"/>
    <x v="1"/>
    <n v="14"/>
    <n v="150000"/>
    <x v="1"/>
    <d v="1899-12-30T15:40:00"/>
    <s v="Bogdan Boteanu"/>
    <s v="Multumit"/>
    <x v="1"/>
  </r>
  <r>
    <x v="2"/>
    <s v="Maria"/>
    <s v="2991026399122"/>
    <s v="Alba Iulia str Ghergeni nr18"/>
    <x v="2"/>
    <x v="2"/>
    <x v="2"/>
    <n v="2"/>
    <n v="15000"/>
    <x v="2"/>
    <d v="1899-12-30T11:39:00"/>
    <s v="Sergiu Silva"/>
    <s v="Dezamagit"/>
    <x v="2"/>
  </r>
  <r>
    <x v="3"/>
    <s v="Vasile"/>
    <s v="1951112721032"/>
    <s v="Sibiu str. Lazaret bl28 ap6"/>
    <x v="3"/>
    <x v="3"/>
    <x v="3"/>
    <n v="6"/>
    <n v="35000"/>
    <x v="3"/>
    <d v="1899-12-30T15:20:00"/>
    <s v="Maria-Cristina Matei"/>
    <s v="Multumit"/>
    <x v="3"/>
  </r>
  <r>
    <x v="4"/>
    <s v="Ion"/>
    <s v="1900402329526"/>
    <s v="Sibiu str. Popesco nr340"/>
    <x v="4"/>
    <x v="4"/>
    <x v="3"/>
    <n v="4"/>
    <n v="50000"/>
    <x v="4"/>
    <d v="1899-12-30T09:23:00"/>
    <s v="Denis Popa"/>
    <s v="Multumit"/>
    <x v="4"/>
  </r>
  <r>
    <x v="5"/>
    <s v="Ioana"/>
    <s v="2990312529622"/>
    <s v="Sibiu str. Pepe nr.76"/>
    <x v="5"/>
    <x v="5"/>
    <x v="0"/>
    <n v="20"/>
    <n v="250000"/>
    <x v="5"/>
    <d v="1899-12-30T11:04:00"/>
    <s v="Sergiu Silva"/>
    <s v="Multumit"/>
    <x v="5"/>
  </r>
  <r>
    <x v="6"/>
    <s v="Patricia"/>
    <s v="2950215329632"/>
    <s v="Sibiu str. Omega nr2"/>
    <x v="6"/>
    <x v="6"/>
    <x v="4"/>
    <n v="19"/>
    <n v="80000"/>
    <x v="6"/>
    <d v="1899-12-30T10:47:00"/>
    <s v="Florin Ilie"/>
    <s v="Multumit"/>
    <x v="6"/>
  </r>
  <r>
    <x v="5"/>
    <s v="Ioana"/>
    <s v="2990312529622"/>
    <s v="Sibiu str. Pepe nr.76"/>
    <x v="5"/>
    <x v="5"/>
    <x v="2"/>
    <n v="1"/>
    <n v="10000"/>
    <x v="7"/>
    <d v="1899-12-30T08:50:00"/>
    <s v="Ioana Sima"/>
    <s v="Multumit"/>
    <x v="5"/>
  </r>
  <r>
    <x v="7"/>
    <s v="Alexandra"/>
    <s v="2990320523822"/>
    <s v="Medias str. Secundara nr.123"/>
    <x v="7"/>
    <x v="7"/>
    <x v="3"/>
    <n v="8"/>
    <n v="20000"/>
    <x v="8"/>
    <d v="1899-12-30T12:50:00"/>
    <s v="Andreea Corpa"/>
    <s v="Partial multumit"/>
    <x v="7"/>
  </r>
  <r>
    <x v="8"/>
    <s v="Andrei"/>
    <s v="1980612521682"/>
    <s v="Sibiu str. Ecuso bl4. ap3"/>
    <x v="8"/>
    <x v="8"/>
    <x v="3"/>
    <n v="4"/>
    <n v="45000"/>
    <x v="9"/>
    <d v="1899-12-30T13:45:00"/>
    <s v="Mihai Vlad"/>
    <s v="Multumit"/>
    <x v="8"/>
  </r>
  <r>
    <x v="9"/>
    <s v="Darius"/>
    <s v="1950812229692"/>
    <s v="Sibiu str. Graului nr29"/>
    <x v="9"/>
    <x v="9"/>
    <x v="0"/>
    <n v="23"/>
    <n v="90000"/>
    <x v="10"/>
    <d v="1899-12-30T15:28:00"/>
    <s v="Florin Ilie"/>
    <s v="Multumit"/>
    <x v="9"/>
  </r>
  <r>
    <x v="10"/>
    <s v="George"/>
    <s v="1970112629662"/>
    <s v="Sibiu str. Sica nr21"/>
    <x v="10"/>
    <x v="10"/>
    <x v="2"/>
    <n v="1"/>
    <n v="5000"/>
    <x v="11"/>
    <d v="1899-12-30T10:49:00"/>
    <s v="Denis Popa"/>
    <s v="Multumit"/>
    <x v="10"/>
  </r>
  <r>
    <x v="11"/>
    <s v="Stefania"/>
    <s v="2931013529582"/>
    <s v="Rm. Valcea str. Principala nr230"/>
    <x v="11"/>
    <x v="11"/>
    <x v="3"/>
    <n v="5"/>
    <n v="75000"/>
    <x v="12"/>
    <d v="1899-12-30T09:39:00"/>
    <s v="Daniel Mihalache"/>
    <s v="Multumit"/>
    <x v="11"/>
  </r>
  <r>
    <x v="12"/>
    <s v="Andrei"/>
    <s v="1950712339625"/>
    <s v="Rm. Valcea str. Principala nr23"/>
    <x v="12"/>
    <x v="12"/>
    <x v="2"/>
    <n v="1"/>
    <n v="15000"/>
    <x v="13"/>
    <d v="1899-12-30T10:11:00"/>
    <s v="Denis Popa"/>
    <s v="Dezamagit"/>
    <x v="12"/>
  </r>
  <r>
    <x v="13"/>
    <s v="Valentina"/>
    <s v="2950112729622"/>
    <s v="Medias str. Principala nr14"/>
    <x v="13"/>
    <x v="13"/>
    <x v="2"/>
    <n v="1"/>
    <n v="12000"/>
    <x v="14"/>
    <d v="1899-12-30T09:49:00"/>
    <s v="Vlad Octav"/>
    <s v="Multumit"/>
    <x v="13"/>
  </r>
  <r>
    <x v="0"/>
    <s v="Mihai"/>
    <s v="1931212329022"/>
    <s v="Sibiu str. Vasile Milea nr13"/>
    <x v="0"/>
    <x v="0"/>
    <x v="3"/>
    <n v="4"/>
    <n v="20000"/>
    <x v="15"/>
    <d v="1899-12-30T13:27:00"/>
    <s v="Ioan Vladimir"/>
    <s v="Multumit"/>
    <x v="0"/>
  </r>
  <r>
    <x v="14"/>
    <s v="Marian"/>
    <s v="1900323524622"/>
    <s v="Medias str. Secundara nr22"/>
    <x v="14"/>
    <x v="14"/>
    <x v="0"/>
    <n v="30"/>
    <n v="120000"/>
    <x v="16"/>
    <d v="1899-12-30T15:32:00"/>
    <s v="Denis Popa"/>
    <s v="Multumit"/>
    <x v="14"/>
  </r>
  <r>
    <x v="15"/>
    <s v="Maria"/>
    <s v="2920318530672"/>
    <s v="Rm. Valcea str. Principala nr.14"/>
    <x v="15"/>
    <x v="15"/>
    <x v="1"/>
    <n v="24"/>
    <n v="90000"/>
    <x v="17"/>
    <d v="1899-12-30T12:40:00"/>
    <s v="Ioana Sima"/>
    <s v="Multumit"/>
    <x v="15"/>
  </r>
  <r>
    <x v="9"/>
    <s v="Darius"/>
    <s v="1950812229692"/>
    <s v="Sibiu str. Graului nr29"/>
    <x v="9"/>
    <x v="9"/>
    <x v="3"/>
    <n v="5"/>
    <n v="75000"/>
    <x v="18"/>
    <d v="1899-12-30T15:28:00"/>
    <s v="Maria-Cristina Matei"/>
    <s v="Multumit"/>
    <x v="9"/>
  </r>
  <r>
    <x v="16"/>
    <s v="Mariana"/>
    <s v="2970916529639"/>
    <s v="Sibiu str. Gusterita nr14"/>
    <x v="16"/>
    <x v="16"/>
    <x v="2"/>
    <n v="1"/>
    <n v="7500"/>
    <x v="19"/>
    <d v="1899-12-30T16:30:00"/>
    <s v="Maria-Cristina Matei"/>
    <s v="Multumit"/>
    <x v="16"/>
  </r>
  <r>
    <x v="1"/>
    <s v="Diana"/>
    <s v="2950713322028"/>
    <s v="Sibiu str. Postop bl5 ap5"/>
    <x v="1"/>
    <x v="1"/>
    <x v="0"/>
    <n v="24"/>
    <n v="80000"/>
    <x v="20"/>
    <d v="1899-12-30T10:45:00"/>
    <s v="Mihai Vlad"/>
    <s v="Multumit"/>
    <x v="1"/>
  </r>
  <r>
    <x v="5"/>
    <s v="Ioana"/>
    <s v="2990312529622"/>
    <s v="Sibiu str. Pepe nr.76"/>
    <x v="5"/>
    <x v="5"/>
    <x v="2"/>
    <n v="1"/>
    <n v="6500"/>
    <x v="21"/>
    <d v="1899-12-30T09:04:00"/>
    <s v="Andreea Corpa"/>
    <s v="Multumit"/>
    <x v="5"/>
  </r>
  <r>
    <x v="3"/>
    <s v="Vasile"/>
    <s v="1951112721032"/>
    <s v="Sibiu str. Lazaret bl28 ap6"/>
    <x v="5"/>
    <x v="3"/>
    <x v="2"/>
    <n v="1"/>
    <n v="10000"/>
    <x v="22"/>
    <d v="1899-12-30T15:09:00"/>
    <s v="Florin Ilie"/>
    <s v="Partial multumit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G65" firstHeaderRow="1" firstDataRow="2" firstDataCol="1" rowPageCount="2" colPageCount="1"/>
  <pivotFields count="14">
    <pivotField axis="axisRow" showAll="0">
      <items count="22">
        <item x="5"/>
        <item m="1" x="19"/>
        <item m="1" x="17"/>
        <item x="2"/>
        <item x="4"/>
        <item m="1" x="20"/>
        <item x="14"/>
        <item x="1"/>
        <item x="16"/>
        <item x="11"/>
        <item x="6"/>
        <item x="13"/>
        <item x="10"/>
        <item x="0"/>
        <item x="9"/>
        <item x="3"/>
        <item x="12"/>
        <item x="7"/>
        <item m="1" x="18"/>
        <item x="15"/>
        <item x="8"/>
        <item t="default"/>
      </items>
    </pivotField>
    <pivotField showAll="0"/>
    <pivotField showAll="0"/>
    <pivotField showAll="0"/>
    <pivotField axis="axisPage" showAll="0">
      <items count="22">
        <item x="4"/>
        <item x="9"/>
        <item x="12"/>
        <item x="3"/>
        <item m="1" x="20"/>
        <item m="1" x="19"/>
        <item x="15"/>
        <item x="13"/>
        <item m="1" x="17"/>
        <item x="16"/>
        <item x="8"/>
        <item x="0"/>
        <item x="5"/>
        <item x="6"/>
        <item x="7"/>
        <item x="2"/>
        <item x="10"/>
        <item x="14"/>
        <item m="1" x="18"/>
        <item x="1"/>
        <item x="11"/>
        <item t="default"/>
      </items>
    </pivotField>
    <pivotField axis="axisPage" showAll="0">
      <items count="22">
        <item x="5"/>
        <item m="1" x="20"/>
        <item m="1" x="19"/>
        <item x="1"/>
        <item m="1" x="18"/>
        <item x="14"/>
        <item x="4"/>
        <item x="16"/>
        <item x="2"/>
        <item x="11"/>
        <item m="1" x="17"/>
        <item x="6"/>
        <item x="13"/>
        <item x="10"/>
        <item x="0"/>
        <item x="9"/>
        <item x="3"/>
        <item x="12"/>
        <item x="7"/>
        <item x="15"/>
        <item x="8"/>
        <item t="default"/>
      </items>
    </pivotField>
    <pivotField axis="axisCol" showAll="0">
      <items count="7">
        <item x="3"/>
        <item m="1" x="5"/>
        <item x="2"/>
        <item x="1"/>
        <item x="4"/>
        <item x="0"/>
        <item t="default"/>
      </items>
    </pivotField>
    <pivotField showAll="0"/>
    <pivotField dataField="1" numFmtId="3" showAll="0"/>
    <pivotField axis="axisRow" numFmtId="15" showAll="0">
      <items count="24">
        <item x="6"/>
        <item x="20"/>
        <item x="1"/>
        <item x="0"/>
        <item x="16"/>
        <item x="17"/>
        <item x="19"/>
        <item x="18"/>
        <item x="3"/>
        <item x="9"/>
        <item x="4"/>
        <item x="22"/>
        <item x="15"/>
        <item x="8"/>
        <item x="10"/>
        <item x="2"/>
        <item x="13"/>
        <item x="12"/>
        <item x="7"/>
        <item x="21"/>
        <item x="5"/>
        <item x="11"/>
        <item x="14"/>
        <item t="default"/>
      </items>
    </pivotField>
    <pivotField numFmtId="20" showAll="0"/>
    <pivotField showAll="0"/>
    <pivotField showAll="0"/>
    <pivotField axis="axisRow" showAll="0">
      <items count="22">
        <item x="0"/>
        <item x="1"/>
        <item x="2"/>
        <item x="3"/>
        <item x="4"/>
        <item m="1" x="19"/>
        <item x="6"/>
        <item x="5"/>
        <item x="7"/>
        <item x="8"/>
        <item m="1" x="17"/>
        <item x="10"/>
        <item x="11"/>
        <item x="12"/>
        <item x="13"/>
        <item m="1" x="20"/>
        <item x="14"/>
        <item x="15"/>
        <item x="9"/>
        <item x="16"/>
        <item m="1" x="18"/>
        <item t="default"/>
      </items>
    </pivotField>
  </pivotFields>
  <rowFields count="3">
    <field x="0"/>
    <field x="13"/>
    <field x="9"/>
  </rowFields>
  <rowItems count="58">
    <i>
      <x/>
    </i>
    <i r="1">
      <x v="7"/>
    </i>
    <i r="2">
      <x v="18"/>
    </i>
    <i r="2">
      <x v="19"/>
    </i>
    <i r="2">
      <x v="20"/>
    </i>
    <i>
      <x v="3"/>
    </i>
    <i r="1">
      <x v="2"/>
    </i>
    <i r="2">
      <x v="15"/>
    </i>
    <i>
      <x v="4"/>
    </i>
    <i r="1">
      <x v="4"/>
    </i>
    <i r="2">
      <x v="10"/>
    </i>
    <i>
      <x v="6"/>
    </i>
    <i r="1">
      <x v="16"/>
    </i>
    <i r="2">
      <x v="4"/>
    </i>
    <i>
      <x v="7"/>
    </i>
    <i r="1">
      <x v="1"/>
    </i>
    <i r="2">
      <x v="1"/>
    </i>
    <i r="2">
      <x v="2"/>
    </i>
    <i>
      <x v="8"/>
    </i>
    <i r="1">
      <x v="19"/>
    </i>
    <i r="2">
      <x v="6"/>
    </i>
    <i>
      <x v="9"/>
    </i>
    <i r="1">
      <x v="12"/>
    </i>
    <i r="2">
      <x v="17"/>
    </i>
    <i>
      <x v="10"/>
    </i>
    <i r="1">
      <x v="6"/>
    </i>
    <i r="2">
      <x/>
    </i>
    <i>
      <x v="11"/>
    </i>
    <i r="1">
      <x v="14"/>
    </i>
    <i r="2">
      <x v="22"/>
    </i>
    <i>
      <x v="12"/>
    </i>
    <i r="1">
      <x v="11"/>
    </i>
    <i r="2">
      <x v="21"/>
    </i>
    <i>
      <x v="13"/>
    </i>
    <i r="1">
      <x/>
    </i>
    <i r="2">
      <x v="3"/>
    </i>
    <i r="2">
      <x v="12"/>
    </i>
    <i>
      <x v="14"/>
    </i>
    <i r="1">
      <x v="18"/>
    </i>
    <i r="2">
      <x v="7"/>
    </i>
    <i r="2">
      <x v="14"/>
    </i>
    <i>
      <x v="15"/>
    </i>
    <i r="1">
      <x v="3"/>
    </i>
    <i r="2">
      <x v="8"/>
    </i>
    <i r="2">
      <x v="11"/>
    </i>
    <i>
      <x v="16"/>
    </i>
    <i r="1">
      <x v="13"/>
    </i>
    <i r="2">
      <x v="16"/>
    </i>
    <i>
      <x v="17"/>
    </i>
    <i r="1">
      <x v="8"/>
    </i>
    <i r="2">
      <x v="13"/>
    </i>
    <i>
      <x v="19"/>
    </i>
    <i r="1">
      <x v="17"/>
    </i>
    <i r="2">
      <x v="5"/>
    </i>
    <i>
      <x v="20"/>
    </i>
    <i r="1">
      <x v="9"/>
    </i>
    <i r="2">
      <x v="9"/>
    </i>
    <i t="grand">
      <x/>
    </i>
  </rowItems>
  <colFields count="1">
    <field x="6"/>
  </colFields>
  <colItems count="6">
    <i>
      <x/>
    </i>
    <i>
      <x v="2"/>
    </i>
    <i>
      <x v="3"/>
    </i>
    <i>
      <x v="4"/>
    </i>
    <i>
      <x v="5"/>
    </i>
    <i t="grand">
      <x/>
    </i>
  </colItems>
  <pageFields count="2">
    <pageField fld="5" hier="-1"/>
    <pageField fld="4" hier="-1"/>
  </pageFields>
  <dataFields count="1">
    <dataField name="Sum of Valoare credit (RON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lienti ing import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4" name="Table4" displayName="Table4" ref="B5:N22" totalsRowShown="0" headerRowDxfId="38" dataDxfId="36" headerRowBorderDxfId="37" tableBorderDxfId="35" totalsRowBorderDxfId="34" headerRowCellStyle="20% - Accent1">
  <autoFilter ref="B5:N22"/>
  <tableColumns count="13">
    <tableColumn id="1" name="Nume" dataDxfId="33" dataCellStyle="20% - Accent1"/>
    <tableColumn id="2" name="Prenume" dataDxfId="32" dataCellStyle="20% - Accent1"/>
    <tableColumn id="3" name="CNP" dataDxfId="31"/>
    <tableColumn id="4" name="Gen" dataDxfId="30">
      <calculatedColumnFormula>IF(LEFT(Table4[[#This Row],[CNP]],1)="2","F","M")</calculatedColumnFormula>
    </tableColumn>
    <tableColumn id="13" name="Data nasterii" dataDxfId="29">
      <calculatedColumnFormula>DATE(MID(Table4[[#This Row],[CNP]],2,2),MID(Table4[[#This Row],[CNP]],4,2),MID(Table4[[#This Row],[CNP]],6,2))</calculatedColumnFormula>
    </tableColumn>
    <tableColumn id="5" name="Varsta" dataDxfId="28">
      <calculatedColumnFormula>YEAR(TODAY())-YEAR(Table4[[#This Row],[Data nasterii]])</calculatedColumnFormula>
    </tableColumn>
    <tableColumn id="6" name="Varsta sub 35 de ani" dataDxfId="27">
      <calculatedColumnFormula>IF(Table4[[#This Row],[Varsta]]&lt;35,"Se incadreaza","A depasit")</calculatedColumnFormula>
    </tableColumn>
    <tableColumn id="7" name="Oras natal" dataDxfId="26"/>
    <tableColumn id="8" name="Oral actual" dataDxfId="25"/>
    <tableColumn id="9" name="Post" dataDxfId="24"/>
    <tableColumn id="10" name="Norma (h)" dataDxfId="23"/>
    <tableColumn id="11" name="Data angajarii" dataDxfId="22"/>
    <tableColumn id="12" name="Vechime" dataDxfId="21">
      <calculatedColumnFormula>YEAR(TODAY())-YEAR(Table4[[#This Row],[Data angajarii]])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5:I11" totalsRowShown="0" headerRowDxfId="20" dataDxfId="18" headerRowBorderDxfId="19" tableBorderDxfId="17" totalsRowBorderDxfId="16" headerRowCellStyle="Accent1" dataCellStyle="20% - Accent1">
  <autoFilter ref="D5:I11"/>
  <tableColumns count="6">
    <tableColumn id="1" name="               Ziua saptamanii_x000a__x000a_Ora" dataDxfId="15" dataCellStyle="20% - Accent1"/>
    <tableColumn id="2" name="Luni_x000a_ " dataDxfId="14" dataCellStyle="20% - Accent1"/>
    <tableColumn id="3" name="Marti_x000a_" dataDxfId="13" dataCellStyle="20% - Accent1"/>
    <tableColumn id="4" name="Miercuri_x000a_" dataDxfId="12" dataCellStyle="20% - Accent1"/>
    <tableColumn id="5" name="Joi_x000a_" dataDxfId="11" dataCellStyle="20% - Accent1"/>
    <tableColumn id="6" name="Vineri_x000a_" dataDxfId="10" dataCellStyle="20% - Accen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3:G13" totalsRowShown="0" headerRowDxfId="8" dataDxfId="7" headerRowCellStyle="40% - Accent6">
  <autoFilter ref="B3:G13"/>
  <tableColumns count="6">
    <tableColumn id="1" name="Imagine" dataDxfId="6"/>
    <tableColumn id="2" name="Moneda" dataDxfId="5"/>
    <tableColumn id="3" name="Cod" dataDxfId="4"/>
    <tableColumn id="4" name="Curs" dataDxfId="3"/>
    <tableColumn id="5" name="ING Cumpara" dataDxfId="2"/>
    <tableColumn id="6" name="ING Vinde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g.ro/persoane-fizice/internet-banking/homebank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ing.ro/persoane-fizice/asigurari/asigurare-locuinta" TargetMode="External"/><Relationship Id="rId7" Type="http://schemas.openxmlformats.org/officeDocument/2006/relationships/hyperlink" Target="https://ing.ro/ing-in-romania/relatii-cu-medi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ng.ro/persoane-fizice/economii-si-investitii/ing-economii" TargetMode="External"/><Relationship Id="rId1" Type="http://schemas.openxmlformats.org/officeDocument/2006/relationships/hyperlink" Target="https://ing.ro/persoane-fizice/internet-banking/homebank" TargetMode="External"/><Relationship Id="rId6" Type="http://schemas.openxmlformats.org/officeDocument/2006/relationships/hyperlink" Target="https://ing.ro/stare-servicii" TargetMode="External"/><Relationship Id="rId11" Type="http://schemas.openxmlformats.org/officeDocument/2006/relationships/hyperlink" Target="https://ing.ro/ing-in-romania/relatii-cu-media" TargetMode="External"/><Relationship Id="rId5" Type="http://schemas.openxmlformats.org/officeDocument/2006/relationships/hyperlink" Target="https://www.ing.jobs/Romania/Acasa.ht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ing.ro/stare-servicii" TargetMode="External"/><Relationship Id="rId4" Type="http://schemas.openxmlformats.org/officeDocument/2006/relationships/hyperlink" Target="https://ing.ro/persoane-fizice/carduri-si-conturi/cardurile-ing" TargetMode="External"/><Relationship Id="rId9" Type="http://schemas.openxmlformats.org/officeDocument/2006/relationships/hyperlink" Target="https://ing.ro/persoane-fizice/asigurari/asigurare-locuinta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g.ro/ing-in-romania/contac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C5704"/>
  </sheetPr>
  <dimension ref="A1:Q28"/>
  <sheetViews>
    <sheetView tabSelected="1" workbookViewId="0">
      <selection activeCell="C5" sqref="C5"/>
    </sheetView>
  </sheetViews>
  <sheetFormatPr defaultRowHeight="14.4" x14ac:dyDescent="0.3"/>
  <cols>
    <col min="1" max="1" width="19.77734375" customWidth="1"/>
    <col min="2" max="2" width="23.33203125" customWidth="1"/>
    <col min="3" max="3" width="17.21875" customWidth="1"/>
    <col min="4" max="4" width="21.5546875" customWidth="1"/>
    <col min="6" max="6" width="10" customWidth="1"/>
    <col min="8" max="8" width="10.6640625" customWidth="1"/>
    <col min="9" max="9" width="10.88671875" customWidth="1"/>
    <col min="15" max="15" width="13.44140625" customWidth="1"/>
  </cols>
  <sheetData>
    <row r="1" spans="1:17" ht="52.8" customHeight="1" x14ac:dyDescent="0.3">
      <c r="A1" s="1"/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.4" customHeight="1" x14ac:dyDescent="0.35">
      <c r="A2" s="4" t="s">
        <v>1</v>
      </c>
      <c r="B2" s="4" t="s">
        <v>0</v>
      </c>
      <c r="C2" s="4" t="s">
        <v>4</v>
      </c>
      <c r="D2" s="4" t="s">
        <v>2</v>
      </c>
      <c r="E2" s="3"/>
      <c r="F2" s="221" t="s">
        <v>187</v>
      </c>
      <c r="G2" s="221"/>
      <c r="H2" s="221"/>
      <c r="I2" s="3"/>
      <c r="J2" s="3"/>
      <c r="K2" s="5"/>
      <c r="L2" s="5"/>
      <c r="M2" s="5"/>
      <c r="N2" s="5"/>
      <c r="O2" s="5"/>
      <c r="P2" s="5"/>
      <c r="Q2" s="5"/>
    </row>
    <row r="3" spans="1:17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20.399999999999999" customHeight="1" x14ac:dyDescent="0.35">
      <c r="A4" s="129" t="s">
        <v>185</v>
      </c>
      <c r="B4" s="129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9.8" customHeight="1" x14ac:dyDescent="0.35">
      <c r="A5" s="129" t="s">
        <v>197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20.399999999999999" customHeight="1" x14ac:dyDescent="0.35">
      <c r="A6" s="129" t="s">
        <v>198</v>
      </c>
      <c r="B6" s="1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0.399999999999999" customHeight="1" x14ac:dyDescent="0.35">
      <c r="A7" s="129" t="s">
        <v>363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.6" x14ac:dyDescent="0.3">
      <c r="A8" s="7"/>
      <c r="B8" s="7"/>
      <c r="C8" s="7"/>
      <c r="D8" s="7"/>
      <c r="E8" s="7"/>
      <c r="F8" s="7"/>
      <c r="G8" s="218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6.2" x14ac:dyDescent="0.35">
      <c r="A11" s="129"/>
      <c r="B11" s="7"/>
      <c r="C11" s="7"/>
      <c r="D11" s="7"/>
      <c r="E11" s="7"/>
      <c r="F11" s="7"/>
      <c r="G11" s="216"/>
      <c r="H11" s="216"/>
      <c r="I11" s="7"/>
      <c r="J11" s="7"/>
      <c r="K11" s="7"/>
      <c r="L11" s="7"/>
      <c r="M11" s="7"/>
      <c r="N11" s="7"/>
      <c r="O11" s="7"/>
      <c r="P11" s="7"/>
      <c r="Q11" s="7"/>
    </row>
    <row r="12" spans="1:17" ht="18" customHeight="1" x14ac:dyDescent="0.3">
      <c r="A12" s="7"/>
      <c r="B12" s="7"/>
      <c r="C12" s="7"/>
      <c r="D12" s="7"/>
      <c r="E12" s="7"/>
      <c r="F12" s="7"/>
      <c r="G12" s="220" t="s">
        <v>364</v>
      </c>
      <c r="H12" s="218"/>
      <c r="I12" s="7"/>
      <c r="J12" s="7"/>
      <c r="K12" s="7"/>
      <c r="L12" s="7"/>
      <c r="M12" s="7"/>
      <c r="N12" s="7"/>
      <c r="O12" s="7"/>
      <c r="P12" s="7"/>
      <c r="Q12" s="7"/>
    </row>
    <row r="13" spans="1:17" ht="18" customHeight="1" x14ac:dyDescent="0.3">
      <c r="A13" s="7"/>
      <c r="B13" s="7"/>
      <c r="C13" s="7"/>
      <c r="D13" s="7"/>
      <c r="E13" s="7"/>
      <c r="F13" s="7"/>
      <c r="G13" s="217" t="s">
        <v>365</v>
      </c>
      <c r="H13" s="218"/>
      <c r="I13" s="7"/>
      <c r="J13" s="7"/>
      <c r="K13" s="7"/>
      <c r="L13" s="7"/>
      <c r="M13" s="7"/>
      <c r="N13" s="7"/>
      <c r="O13" s="7"/>
      <c r="P13" s="7"/>
      <c r="Q13" s="7"/>
    </row>
    <row r="14" spans="1:17" ht="18" customHeight="1" x14ac:dyDescent="0.3">
      <c r="A14" s="7"/>
      <c r="B14" s="7"/>
      <c r="C14" s="7"/>
      <c r="D14" s="7"/>
      <c r="E14" s="7"/>
      <c r="F14" s="7"/>
      <c r="G14" s="220" t="s">
        <v>366</v>
      </c>
      <c r="H14" s="218"/>
      <c r="I14" s="7"/>
      <c r="J14" s="7"/>
      <c r="K14" s="7"/>
      <c r="L14" s="7"/>
      <c r="M14" s="7"/>
      <c r="N14" s="7"/>
      <c r="O14" s="7"/>
      <c r="P14" s="7"/>
      <c r="Q14" s="7"/>
    </row>
    <row r="15" spans="1:17" ht="18" customHeight="1" x14ac:dyDescent="0.3">
      <c r="A15" s="7"/>
      <c r="B15" s="7"/>
      <c r="C15" s="7"/>
      <c r="D15" s="7"/>
      <c r="E15" s="7"/>
      <c r="F15" s="7"/>
      <c r="G15" s="217" t="s">
        <v>367</v>
      </c>
      <c r="H15" s="218"/>
      <c r="I15" s="7"/>
      <c r="J15" s="7"/>
      <c r="K15" s="7"/>
      <c r="L15" s="7"/>
      <c r="M15" s="7"/>
      <c r="N15" s="7"/>
      <c r="O15" s="7"/>
      <c r="P15" s="7"/>
      <c r="Q15" s="7"/>
    </row>
    <row r="16" spans="1:17" ht="18.600000000000001" customHeight="1" x14ac:dyDescent="0.3">
      <c r="A16" s="7"/>
      <c r="B16" s="7"/>
      <c r="C16" s="7"/>
      <c r="D16" s="7"/>
      <c r="E16" s="7"/>
      <c r="F16" s="7"/>
      <c r="G16" s="217" t="s">
        <v>368</v>
      </c>
      <c r="H16" s="218"/>
      <c r="I16" s="7"/>
      <c r="J16" s="7"/>
      <c r="K16" s="7"/>
      <c r="L16" s="7"/>
      <c r="M16" s="7"/>
      <c r="N16" s="7"/>
      <c r="O16" s="7"/>
      <c r="P16" s="7"/>
      <c r="Q16" s="7"/>
    </row>
    <row r="17" spans="1:17" ht="18" customHeight="1" x14ac:dyDescent="0.3">
      <c r="A17" s="7"/>
      <c r="B17" s="7"/>
      <c r="C17" s="7"/>
      <c r="D17" s="7"/>
      <c r="E17" s="7"/>
      <c r="F17" s="7"/>
      <c r="G17" s="220" t="s">
        <v>369</v>
      </c>
      <c r="H17" s="13"/>
      <c r="I17" s="7"/>
      <c r="J17" s="7"/>
      <c r="K17" s="7"/>
      <c r="L17" s="7"/>
      <c r="M17" s="7"/>
      <c r="N17" s="7"/>
      <c r="O17" s="7"/>
      <c r="P17" s="7"/>
      <c r="Q17" s="7"/>
    </row>
    <row r="18" spans="1:17" ht="18" customHeight="1" x14ac:dyDescent="0.3">
      <c r="A18" s="7"/>
      <c r="B18" s="7"/>
      <c r="C18" s="7"/>
      <c r="D18" s="7"/>
      <c r="E18" s="7"/>
      <c r="F18" s="7"/>
      <c r="G18" s="220" t="s">
        <v>370</v>
      </c>
      <c r="H18" s="13"/>
      <c r="I18" s="7"/>
      <c r="J18" s="7"/>
      <c r="K18" s="7"/>
      <c r="L18" s="7"/>
      <c r="M18" s="7"/>
      <c r="N18" s="7"/>
      <c r="O18" s="7"/>
      <c r="P18" s="7"/>
      <c r="Q18" s="7"/>
    </row>
    <row r="19" spans="1:17" ht="15.6" x14ac:dyDescent="0.3">
      <c r="A19" s="7"/>
      <c r="B19" s="7"/>
      <c r="C19" s="7"/>
      <c r="D19" s="7"/>
      <c r="E19" s="7"/>
      <c r="F19" s="7"/>
      <c r="G19" s="218"/>
      <c r="H19" s="218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3">
      <c r="A20" s="7"/>
      <c r="B20" s="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16.2" x14ac:dyDescent="0.35">
      <c r="A21" s="215">
        <f ca="1">NOW()</f>
        <v>46044.902535532405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219" t="s">
        <v>141</v>
      </c>
      <c r="Q21" s="219"/>
    </row>
    <row r="22" spans="1:17" ht="15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219" t="s">
        <v>371</v>
      </c>
      <c r="Q22" s="219"/>
    </row>
    <row r="23" spans="1:17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</sheetData>
  <sheetProtection sheet="1" objects="1" scenarios="1"/>
  <mergeCells count="1">
    <mergeCell ref="F2:H2"/>
  </mergeCells>
  <hyperlinks>
    <hyperlink ref="A2" location="ING!A1" display="Cine suntem?"/>
    <hyperlink ref="B2" location="ING!A1" display="Unde ne gasesti? "/>
    <hyperlink ref="C2" location="Structura!A1" display="Structura"/>
    <hyperlink ref="A4:B4" location="'Curs Valutar'!A1" display="         Curs Valutar ING Romania"/>
    <hyperlink ref="A5" location="Credite!A1" display="         Credite"/>
    <hyperlink ref="A6:B6" location="'Ore clienti'!A1" display="         Analiza ore clienti"/>
    <hyperlink ref="A7" location="'Plan Cladire'!A1" display="         Planul cladirii"/>
    <hyperlink ref="G12" r:id="rId1"/>
    <hyperlink ref="G13" r:id="rId2"/>
    <hyperlink ref="G14" r:id="rId3"/>
    <hyperlink ref="G15" r:id="rId4"/>
    <hyperlink ref="G16" r:id="rId5"/>
    <hyperlink ref="G17" r:id="rId6"/>
    <hyperlink ref="G18" r:id="rId7"/>
    <hyperlink ref="G12:H12" r:id="rId8" display="Internet Banking"/>
    <hyperlink ref="G14:H14" r:id="rId9" display="Asigurare locuinta"/>
    <hyperlink ref="G17:H17" r:id="rId10" display="Starea serviciilor"/>
    <hyperlink ref="G18:H18" r:id="rId11" display="Relatii cu media"/>
  </hyperlinks>
  <pageMargins left="0.7" right="0.7" top="0.75" bottom="0.75" header="0.3" footer="0.3"/>
  <pageSetup paperSize="9" orientation="portrait" r:id="rId12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V76"/>
  <sheetViews>
    <sheetView workbookViewId="0">
      <selection activeCell="T3" sqref="T3"/>
    </sheetView>
  </sheetViews>
  <sheetFormatPr defaultRowHeight="14.4" x14ac:dyDescent="0.3"/>
  <cols>
    <col min="1" max="1" width="4.21875" customWidth="1"/>
    <col min="2" max="2" width="30.44140625" customWidth="1"/>
    <col min="3" max="3" width="14.77734375" customWidth="1"/>
    <col min="5" max="5" width="9.88671875" customWidth="1"/>
    <col min="7" max="7" width="8.88671875" customWidth="1"/>
    <col min="15" max="15" width="10.44140625" customWidth="1"/>
    <col min="16" max="16" width="7.44140625" customWidth="1"/>
  </cols>
  <sheetData>
    <row r="1" spans="1:22" ht="20.399999999999999" customHeight="1" x14ac:dyDescent="0.45">
      <c r="A1" s="7"/>
      <c r="B1" s="7"/>
      <c r="C1" s="7"/>
      <c r="D1" s="7"/>
      <c r="E1" s="109"/>
      <c r="F1" s="7"/>
      <c r="G1" s="116" t="s">
        <v>20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0.199999999999999" customHeight="1" x14ac:dyDescent="0.45">
      <c r="A2" s="7"/>
      <c r="B2" s="7"/>
      <c r="C2" s="7"/>
      <c r="D2" s="7"/>
      <c r="E2" s="2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3"/>
      <c r="U2" s="7"/>
      <c r="V2" s="7"/>
    </row>
    <row r="3" spans="1:22" ht="25.2" customHeight="1" x14ac:dyDescent="0.3">
      <c r="A3" s="7"/>
      <c r="B3" s="108" t="s">
        <v>148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31" t="s">
        <v>7</v>
      </c>
      <c r="U3" s="7"/>
      <c r="V3" s="7"/>
    </row>
    <row r="4" spans="1:22" ht="12.6" customHeight="1" x14ac:dyDescent="0.3">
      <c r="A4" s="7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6.2" x14ac:dyDescent="0.35">
      <c r="A5" s="7"/>
      <c r="B5" s="103" t="s">
        <v>183</v>
      </c>
      <c r="C5" s="103"/>
      <c r="D5" s="103"/>
      <c r="E5" s="103"/>
      <c r="F5" s="103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7"/>
      <c r="R5" s="7"/>
      <c r="S5" s="7"/>
      <c r="T5" s="7"/>
      <c r="U5" s="7"/>
      <c r="V5" s="7"/>
    </row>
    <row r="6" spans="1:22" ht="17.399999999999999" customHeight="1" x14ac:dyDescent="0.3">
      <c r="A6" s="7"/>
      <c r="B6" s="103" t="s">
        <v>184</v>
      </c>
      <c r="C6" s="103"/>
      <c r="D6" s="103"/>
      <c r="E6" s="103"/>
      <c r="F6" s="103"/>
      <c r="G6" s="103"/>
      <c r="H6" s="103"/>
      <c r="I6" s="103"/>
      <c r="J6" s="103"/>
      <c r="K6" s="103"/>
      <c r="L6" s="104"/>
      <c r="M6" s="104"/>
      <c r="N6" s="104"/>
      <c r="O6" s="104"/>
      <c r="P6" s="104"/>
      <c r="Q6" s="7"/>
      <c r="R6" s="7"/>
      <c r="S6" s="7"/>
      <c r="T6" s="7"/>
      <c r="U6" s="7"/>
      <c r="V6" s="7"/>
    </row>
    <row r="7" spans="1:22" ht="17.399999999999999" customHeight="1" x14ac:dyDescent="0.3">
      <c r="A7" s="7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7"/>
      <c r="R7" s="7"/>
      <c r="S7" s="7"/>
      <c r="T7" s="7"/>
      <c r="U7" s="7"/>
      <c r="V7" s="7"/>
    </row>
    <row r="8" spans="1:22" ht="19.8" x14ac:dyDescent="0.3">
      <c r="A8" s="7"/>
      <c r="B8" s="110" t="s">
        <v>5</v>
      </c>
      <c r="C8" s="48"/>
      <c r="D8" s="48"/>
      <c r="E8" s="48"/>
      <c r="F8" s="48"/>
      <c r="G8" s="48"/>
      <c r="H8" s="48"/>
      <c r="I8" s="48"/>
      <c r="J8" s="48"/>
      <c r="K8" s="48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9" customHeight="1" x14ac:dyDescent="0.3">
      <c r="A9" s="7"/>
      <c r="B9" s="47"/>
      <c r="C9" s="48"/>
      <c r="D9" s="48"/>
      <c r="E9" s="48"/>
      <c r="F9" s="48"/>
      <c r="G9" s="48"/>
      <c r="H9" s="48"/>
      <c r="I9" s="48"/>
      <c r="J9" s="48"/>
      <c r="K9" s="48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6.8" customHeight="1" x14ac:dyDescent="0.3">
      <c r="A10" s="7"/>
      <c r="B10" s="103" t="s">
        <v>156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5"/>
      <c r="M10" s="105"/>
      <c r="N10" s="105"/>
      <c r="O10" s="105"/>
      <c r="P10" s="105"/>
      <c r="Q10" s="7"/>
      <c r="R10" s="7"/>
      <c r="S10" s="7"/>
      <c r="T10" s="7"/>
      <c r="U10" s="7"/>
      <c r="V10" s="7"/>
    </row>
    <row r="11" spans="1:22" ht="15.6" x14ac:dyDescent="0.3">
      <c r="A11" s="7"/>
      <c r="B11" s="103" t="s">
        <v>145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7"/>
      <c r="R11" s="7"/>
      <c r="S11" s="7"/>
      <c r="T11" s="7"/>
      <c r="U11" s="7"/>
      <c r="V11" s="7"/>
    </row>
    <row r="12" spans="1:22" ht="15.6" x14ac:dyDescent="0.3">
      <c r="A12" s="7"/>
      <c r="B12" s="103" t="s">
        <v>153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7"/>
      <c r="R12" s="7"/>
      <c r="S12" s="7"/>
      <c r="T12" s="7"/>
      <c r="U12" s="7"/>
      <c r="V12" s="7"/>
    </row>
    <row r="13" spans="1:22" ht="15.6" x14ac:dyDescent="0.3">
      <c r="A13" s="7"/>
      <c r="B13" s="103" t="s">
        <v>154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7"/>
      <c r="R13" s="7"/>
      <c r="S13" s="7"/>
      <c r="T13" s="7"/>
      <c r="U13" s="7"/>
      <c r="V13" s="7"/>
    </row>
    <row r="14" spans="1:22" ht="15.6" x14ac:dyDescent="0.3">
      <c r="A14" s="7"/>
      <c r="B14" s="103" t="s">
        <v>155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7"/>
      <c r="R14" s="7"/>
      <c r="S14" s="7"/>
      <c r="T14" s="7"/>
      <c r="U14" s="7"/>
      <c r="V14" s="7"/>
    </row>
    <row r="15" spans="1:22" ht="15.6" x14ac:dyDescent="0.3">
      <c r="A15" s="7"/>
      <c r="B15" s="103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7"/>
      <c r="R15" s="7"/>
      <c r="S15" s="7"/>
      <c r="T15" s="7"/>
      <c r="U15" s="7"/>
      <c r="V15" s="7"/>
    </row>
    <row r="16" spans="1:22" ht="15.6" x14ac:dyDescent="0.3">
      <c r="A16" s="7"/>
      <c r="B16" s="103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7"/>
      <c r="R16" s="7"/>
      <c r="S16" s="7"/>
      <c r="T16" s="7"/>
      <c r="U16" s="7"/>
      <c r="V16" s="7"/>
    </row>
    <row r="17" spans="1:22" ht="15.6" x14ac:dyDescent="0.3">
      <c r="A17" s="7"/>
      <c r="B17" s="103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7"/>
      <c r="R17" s="7"/>
      <c r="S17" s="7"/>
      <c r="T17" s="7"/>
      <c r="U17" s="7"/>
      <c r="V17" s="7"/>
    </row>
    <row r="18" spans="1:22" ht="15.6" x14ac:dyDescent="0.3">
      <c r="A18" s="7"/>
      <c r="B18" s="103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7"/>
      <c r="R18" s="7"/>
      <c r="S18" s="7"/>
      <c r="T18" s="7"/>
      <c r="U18" s="7"/>
      <c r="V18" s="7"/>
    </row>
    <row r="19" spans="1:22" ht="15.6" x14ac:dyDescent="0.3">
      <c r="A19" s="7"/>
      <c r="B19" s="103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7"/>
      <c r="R19" s="7"/>
      <c r="S19" s="7"/>
      <c r="T19" s="7"/>
      <c r="U19" s="7"/>
      <c r="V19" s="7"/>
    </row>
    <row r="20" spans="1:22" ht="15.6" x14ac:dyDescent="0.3">
      <c r="A20" s="7"/>
      <c r="B20" s="103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7"/>
      <c r="R20" s="7"/>
      <c r="S20" s="7"/>
      <c r="T20" s="7"/>
      <c r="U20" s="7"/>
      <c r="V20" s="7"/>
    </row>
    <row r="21" spans="1:22" ht="15.6" x14ac:dyDescent="0.3">
      <c r="A21" s="7"/>
      <c r="B21" s="103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7"/>
      <c r="R21" s="7"/>
      <c r="S21" s="7"/>
      <c r="T21" s="7"/>
      <c r="U21" s="7"/>
      <c r="V21" s="7"/>
    </row>
    <row r="22" spans="1:22" ht="15.6" x14ac:dyDescent="0.3">
      <c r="A22" s="7"/>
      <c r="B22" s="103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7"/>
      <c r="R22" s="7"/>
      <c r="S22" s="7"/>
      <c r="T22" s="7"/>
      <c r="U22" s="7"/>
      <c r="V22" s="7"/>
    </row>
    <row r="23" spans="1:22" x14ac:dyDescent="0.3">
      <c r="A23" s="7"/>
      <c r="B23" s="4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3">
      <c r="A24" s="7"/>
      <c r="B24" s="4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3">
      <c r="A25" s="7"/>
      <c r="B25" s="4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3">
      <c r="A26" s="7"/>
      <c r="B26" s="4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22.2" x14ac:dyDescent="0.35">
      <c r="A27" s="7"/>
      <c r="B27" s="111" t="s">
        <v>122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12"/>
      <c r="P27" s="112"/>
      <c r="Q27" s="7"/>
      <c r="R27" s="7"/>
      <c r="S27" s="7"/>
      <c r="T27" s="7"/>
      <c r="U27" s="7"/>
      <c r="V27" s="7"/>
    </row>
    <row r="28" spans="1:22" ht="15.6" customHeight="1" thickBot="1" x14ac:dyDescent="0.45">
      <c r="A28" s="7"/>
      <c r="B28" s="107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7"/>
      <c r="N28" s="7"/>
      <c r="O28" s="222" t="s">
        <v>151</v>
      </c>
      <c r="P28" s="222"/>
      <c r="Q28" s="7"/>
      <c r="R28" s="7"/>
      <c r="S28" s="7"/>
      <c r="T28" s="7"/>
      <c r="U28" s="7"/>
      <c r="V28" s="7"/>
    </row>
    <row r="29" spans="1:22" ht="28.2" customHeight="1" thickTop="1" thickBot="1" x14ac:dyDescent="0.35">
      <c r="A29" s="7"/>
      <c r="B29" s="223" t="s">
        <v>149</v>
      </c>
      <c r="C29" s="223"/>
      <c r="D29" s="223"/>
      <c r="E29" s="223"/>
      <c r="F29" s="223" t="s">
        <v>150</v>
      </c>
      <c r="G29" s="223"/>
      <c r="H29" s="223"/>
      <c r="I29" s="223"/>
      <c r="J29" s="223"/>
      <c r="K29" s="223"/>
      <c r="L29" s="223"/>
      <c r="M29" s="7"/>
      <c r="N29" s="7"/>
      <c r="O29" s="222"/>
      <c r="P29" s="222"/>
      <c r="Q29" s="7"/>
      <c r="R29" s="7"/>
      <c r="S29" s="7"/>
      <c r="T29" s="7"/>
      <c r="U29" s="7"/>
      <c r="V29" s="7"/>
    </row>
    <row r="30" spans="1:22" ht="16.8" customHeight="1" thickTop="1" thickBot="1" x14ac:dyDescent="0.35">
      <c r="A30" s="8"/>
      <c r="B30" s="224" t="s">
        <v>146</v>
      </c>
      <c r="C30" s="224"/>
      <c r="D30" s="224"/>
      <c r="E30" s="224"/>
      <c r="F30" s="224" t="s">
        <v>147</v>
      </c>
      <c r="G30" s="224"/>
      <c r="H30" s="224"/>
      <c r="I30" s="224"/>
      <c r="J30" s="224"/>
      <c r="K30" s="224"/>
      <c r="L30" s="224"/>
      <c r="M30" s="7"/>
      <c r="N30" s="7"/>
      <c r="O30" s="222"/>
      <c r="P30" s="222"/>
      <c r="Q30" s="7"/>
      <c r="R30" s="7"/>
      <c r="S30" s="7"/>
      <c r="T30" s="7"/>
      <c r="U30" s="7"/>
      <c r="V30" s="7"/>
    </row>
    <row r="31" spans="1:22" ht="17.399999999999999" customHeight="1" thickTop="1" thickBot="1" x14ac:dyDescent="0.35">
      <c r="A31" s="8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7"/>
      <c r="N31" s="7"/>
      <c r="O31" s="222"/>
      <c r="P31" s="222"/>
      <c r="Q31" s="7"/>
      <c r="R31" s="7"/>
      <c r="S31" s="7"/>
      <c r="T31" s="7"/>
      <c r="U31" s="7"/>
      <c r="V31" s="7"/>
    </row>
    <row r="32" spans="1:22" ht="28.8" customHeight="1" thickTop="1" thickBot="1" x14ac:dyDescent="0.35">
      <c r="A32" s="8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7"/>
      <c r="N32" s="7"/>
      <c r="O32" s="222"/>
      <c r="P32" s="222"/>
      <c r="Q32" s="7"/>
      <c r="R32" s="7"/>
      <c r="S32" s="7"/>
      <c r="T32" s="7"/>
      <c r="U32" s="7"/>
      <c r="V32" s="7"/>
    </row>
    <row r="33" spans="1:22" ht="14.4" customHeight="1" thickTop="1" thickBot="1" x14ac:dyDescent="0.35">
      <c r="A33" s="7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7"/>
      <c r="N33" s="7"/>
      <c r="O33" s="222"/>
      <c r="P33" s="222"/>
      <c r="Q33" s="7"/>
      <c r="R33" s="7"/>
      <c r="S33" s="7"/>
      <c r="T33" s="7"/>
      <c r="U33" s="7"/>
      <c r="V33" s="7"/>
    </row>
    <row r="34" spans="1:22" ht="14.4" customHeight="1" thickTop="1" thickBot="1" x14ac:dyDescent="0.35">
      <c r="A34" s="7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7"/>
      <c r="N34" s="7"/>
      <c r="O34" s="222"/>
      <c r="P34" s="222"/>
      <c r="Q34" s="7"/>
      <c r="R34" s="7"/>
      <c r="S34" s="7"/>
      <c r="T34" s="7"/>
      <c r="U34" s="7"/>
      <c r="V34" s="7"/>
    </row>
    <row r="35" spans="1:22" ht="14.4" customHeight="1" thickTop="1" thickBot="1" x14ac:dyDescent="0.35">
      <c r="A35" s="7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7"/>
      <c r="N35" s="7"/>
      <c r="O35" s="222"/>
      <c r="P35" s="222"/>
      <c r="Q35" s="7"/>
      <c r="R35" s="7"/>
      <c r="S35" s="7"/>
      <c r="T35" s="7"/>
      <c r="U35" s="7"/>
      <c r="V35" s="7"/>
    </row>
    <row r="36" spans="1:22" ht="14.4" customHeight="1" thickTop="1" thickBot="1" x14ac:dyDescent="0.35">
      <c r="A36" s="7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7"/>
      <c r="N36" s="7"/>
      <c r="O36" s="222"/>
      <c r="P36" s="222"/>
      <c r="Q36" s="7"/>
      <c r="R36" s="7"/>
      <c r="S36" s="7"/>
      <c r="T36" s="7"/>
      <c r="U36" s="7"/>
      <c r="V36" s="7"/>
    </row>
    <row r="37" spans="1:22" ht="15.6" thickTop="1" thickBot="1" x14ac:dyDescent="0.35">
      <c r="A37" s="7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7"/>
      <c r="N37" s="7"/>
      <c r="O37" s="222"/>
      <c r="P37" s="222"/>
      <c r="Q37" s="7"/>
      <c r="R37" s="7"/>
      <c r="S37" s="7"/>
      <c r="T37" s="7"/>
      <c r="U37" s="7"/>
      <c r="V37" s="7"/>
    </row>
    <row r="38" spans="1:22" ht="15.6" thickTop="1" thickBot="1" x14ac:dyDescent="0.35">
      <c r="A38" s="7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7"/>
      <c r="N38" s="7"/>
      <c r="O38" s="222"/>
      <c r="P38" s="222"/>
      <c r="Q38" s="7"/>
      <c r="R38" s="7"/>
      <c r="S38" s="7"/>
      <c r="T38" s="7"/>
      <c r="U38" s="7"/>
      <c r="V38" s="7"/>
    </row>
    <row r="39" spans="1:22" ht="15.6" thickTop="1" thickBot="1" x14ac:dyDescent="0.35">
      <c r="A39" s="7"/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7"/>
      <c r="N39" s="7"/>
      <c r="O39" s="222"/>
      <c r="P39" s="222"/>
      <c r="Q39" s="7"/>
      <c r="R39" s="7"/>
      <c r="S39" s="7"/>
      <c r="T39" s="7"/>
      <c r="U39" s="7"/>
      <c r="V39" s="7"/>
    </row>
    <row r="40" spans="1:22" ht="15.6" thickTop="1" thickBot="1" x14ac:dyDescent="0.35">
      <c r="A40" s="7"/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7"/>
      <c r="N40" s="7"/>
      <c r="O40" s="222"/>
      <c r="P40" s="222"/>
      <c r="Q40" s="7"/>
      <c r="R40" s="7"/>
      <c r="S40" s="7"/>
      <c r="T40" s="7"/>
      <c r="U40" s="7"/>
      <c r="V40" s="7"/>
    </row>
    <row r="41" spans="1:22" ht="15.6" thickTop="1" thickBot="1" x14ac:dyDescent="0.35">
      <c r="A41" s="7"/>
      <c r="B41" s="225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7"/>
      <c r="N41" s="7"/>
      <c r="O41" s="222"/>
      <c r="P41" s="222"/>
      <c r="Q41" s="7"/>
      <c r="R41" s="7"/>
      <c r="S41" s="7"/>
      <c r="T41" s="7"/>
      <c r="U41" s="7"/>
      <c r="V41" s="7"/>
    </row>
    <row r="42" spans="1:22" ht="15.6" thickTop="1" thickBot="1" x14ac:dyDescent="0.35">
      <c r="A42" s="7"/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7"/>
      <c r="N42" s="7"/>
      <c r="O42" s="222"/>
      <c r="P42" s="222"/>
      <c r="Q42" s="7"/>
      <c r="R42" s="7"/>
      <c r="S42" s="7"/>
      <c r="T42" s="7"/>
      <c r="U42" s="7"/>
      <c r="V42" s="7"/>
    </row>
    <row r="43" spans="1:22" ht="15.6" thickTop="1" thickBot="1" x14ac:dyDescent="0.35">
      <c r="A43" s="7"/>
      <c r="B43" s="225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7"/>
      <c r="N43" s="7"/>
      <c r="O43" s="222"/>
      <c r="P43" s="222"/>
      <c r="Q43" s="7"/>
      <c r="R43" s="7"/>
      <c r="S43" s="7"/>
      <c r="T43" s="7"/>
      <c r="U43" s="7"/>
      <c r="V43" s="7"/>
    </row>
    <row r="44" spans="1:22" ht="15.6" thickTop="1" thickBot="1" x14ac:dyDescent="0.35">
      <c r="A44" s="7"/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7"/>
      <c r="N44" s="7"/>
      <c r="O44" s="222"/>
      <c r="P44" s="222"/>
      <c r="Q44" s="7"/>
      <c r="R44" s="7"/>
      <c r="S44" s="7"/>
      <c r="T44" s="7"/>
      <c r="U44" s="7"/>
      <c r="V44" s="7"/>
    </row>
    <row r="45" spans="1:22" ht="15.6" thickTop="1" thickBot="1" x14ac:dyDescent="0.35">
      <c r="A45" s="7"/>
      <c r="B45" s="225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7"/>
      <c r="N45" s="7"/>
      <c r="O45" s="222"/>
      <c r="P45" s="222"/>
      <c r="Q45" s="7"/>
      <c r="R45" s="7"/>
      <c r="S45" s="7"/>
      <c r="T45" s="7"/>
      <c r="U45" s="7"/>
      <c r="V45" s="7"/>
    </row>
    <row r="46" spans="1:22" ht="15.6" thickTop="1" thickBot="1" x14ac:dyDescent="0.35">
      <c r="A46" s="7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7"/>
      <c r="N46" s="7"/>
      <c r="O46" s="222"/>
      <c r="P46" s="222"/>
      <c r="Q46" s="7"/>
      <c r="R46" s="7"/>
      <c r="S46" s="7"/>
      <c r="T46" s="7"/>
      <c r="U46" s="7"/>
      <c r="V46" s="7"/>
    </row>
    <row r="47" spans="1:22" ht="27.6" customHeight="1" thickTop="1" thickBot="1" x14ac:dyDescent="0.35">
      <c r="A47" s="7"/>
      <c r="B47" s="225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7"/>
      <c r="N47" s="7"/>
      <c r="O47" s="222"/>
      <c r="P47" s="222"/>
      <c r="Q47" s="7"/>
      <c r="R47" s="7"/>
      <c r="S47" s="7"/>
      <c r="T47" s="7"/>
      <c r="U47" s="7"/>
      <c r="V47" s="7"/>
    </row>
    <row r="48" spans="1:22" ht="18" customHeight="1" thickTop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s="115" customFormat="1" ht="30" customHeight="1" x14ac:dyDescent="0.3">
      <c r="A49" s="113"/>
      <c r="B49" s="114" t="s">
        <v>6</v>
      </c>
      <c r="C49" s="131"/>
      <c r="D49" s="131"/>
      <c r="E49" s="131"/>
      <c r="F49" s="114"/>
      <c r="G49" s="114"/>
      <c r="H49" s="114"/>
      <c r="I49" s="114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</row>
    <row r="50" spans="1:22" x14ac:dyDescent="0.3">
      <c r="A50" s="7"/>
      <c r="B50" s="133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6" x14ac:dyDescent="0.3">
      <c r="A55" s="7"/>
      <c r="B55" s="11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</sheetData>
  <sheetProtection sheet="1" objects="1" scenarios="1"/>
  <mergeCells count="7">
    <mergeCell ref="O28:P47"/>
    <mergeCell ref="B29:E29"/>
    <mergeCell ref="B30:E36"/>
    <mergeCell ref="B37:E47"/>
    <mergeCell ref="F30:L36"/>
    <mergeCell ref="F37:L47"/>
    <mergeCell ref="F29:L29"/>
  </mergeCells>
  <hyperlinks>
    <hyperlink ref="T3" location="Acasa!A1" display="Home"/>
    <hyperlink ref="B49:E49" r:id="rId1" location="harta" display="Pentru a afla orice sucursala din Romania va rugam, apasati aici.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FF"/>
  </sheetPr>
  <dimension ref="A1:Z135"/>
  <sheetViews>
    <sheetView workbookViewId="0"/>
  </sheetViews>
  <sheetFormatPr defaultRowHeight="14.4" x14ac:dyDescent="0.3"/>
  <cols>
    <col min="1" max="1" width="6.21875" customWidth="1"/>
    <col min="2" max="2" width="11.6640625" customWidth="1"/>
    <col min="3" max="3" width="15.6640625" customWidth="1"/>
    <col min="4" max="4" width="16" customWidth="1"/>
    <col min="5" max="5" width="10.33203125" customWidth="1"/>
    <col min="6" max="6" width="15.77734375" customWidth="1"/>
    <col min="7" max="7" width="10.88671875" customWidth="1"/>
    <col min="8" max="8" width="15.5546875" customWidth="1"/>
    <col min="9" max="9" width="12.21875" customWidth="1"/>
    <col min="10" max="10" width="13" customWidth="1"/>
    <col min="11" max="11" width="34.77734375" customWidth="1"/>
    <col min="12" max="12" width="13.77734375" customWidth="1"/>
    <col min="13" max="13" width="17" bestFit="1" customWidth="1"/>
    <col min="14" max="14" width="11.6640625" customWidth="1"/>
    <col min="15" max="15" width="13.6640625" customWidth="1"/>
  </cols>
  <sheetData>
    <row r="1" spans="1:26" ht="20.399999999999999" customHeight="1" x14ac:dyDescent="0.45">
      <c r="A1" s="10"/>
      <c r="B1" s="10"/>
      <c r="C1" s="10"/>
      <c r="D1" s="10"/>
      <c r="E1" s="10"/>
      <c r="F1" s="10"/>
      <c r="G1" s="28"/>
      <c r="H1" s="53" t="s">
        <v>4</v>
      </c>
      <c r="I1" s="10"/>
      <c r="J1" s="28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8.4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2"/>
      <c r="Y2" s="10"/>
      <c r="Z2" s="10"/>
    </row>
    <row r="3" spans="1:26" ht="22.2" customHeight="1" x14ac:dyDescent="0.45">
      <c r="A3" s="52" t="s">
        <v>54</v>
      </c>
      <c r="B3" s="52"/>
      <c r="C3" s="52"/>
      <c r="D3" s="52"/>
      <c r="E3" s="10"/>
      <c r="F3" s="10"/>
      <c r="G3" s="51"/>
      <c r="H3" s="10"/>
      <c r="I3" s="10"/>
      <c r="J3" s="10"/>
      <c r="K3" s="11"/>
      <c r="L3" s="11"/>
      <c r="M3" s="11"/>
      <c r="N3" s="76" t="s">
        <v>7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6.6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7.6" x14ac:dyDescent="0.3">
      <c r="A5" s="140" t="s">
        <v>158</v>
      </c>
      <c r="B5" s="54" t="s">
        <v>55</v>
      </c>
      <c r="C5" s="55" t="s">
        <v>56</v>
      </c>
      <c r="D5" s="55" t="s">
        <v>57</v>
      </c>
      <c r="E5" s="55" t="s">
        <v>62</v>
      </c>
      <c r="F5" s="55" t="s">
        <v>99</v>
      </c>
      <c r="G5" s="55" t="s">
        <v>63</v>
      </c>
      <c r="H5" s="56" t="s">
        <v>97</v>
      </c>
      <c r="I5" s="55" t="s">
        <v>64</v>
      </c>
      <c r="J5" s="55" t="s">
        <v>98</v>
      </c>
      <c r="K5" s="55" t="s">
        <v>60</v>
      </c>
      <c r="L5" s="55" t="s">
        <v>194</v>
      </c>
      <c r="M5" s="55" t="s">
        <v>58</v>
      </c>
      <c r="N5" s="57" t="s">
        <v>59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6" x14ac:dyDescent="0.35">
      <c r="A6" s="141">
        <v>1</v>
      </c>
      <c r="B6" s="58" t="s">
        <v>66</v>
      </c>
      <c r="C6" s="59" t="s">
        <v>65</v>
      </c>
      <c r="D6" s="62">
        <v>2701027401457</v>
      </c>
      <c r="E6" s="63" t="str">
        <f>IF(LEFT(Table4[[#This Row],[CNP]],1)="2","F","M")</f>
        <v>F</v>
      </c>
      <c r="F6" s="64">
        <f>DATE(MID(Table4[[#This Row],[CNP]],2,2),MID(Table4[[#This Row],[CNP]],4,2),MID(Table4[[#This Row],[CNP]],6,2))</f>
        <v>25868</v>
      </c>
      <c r="G6" s="62">
        <f ca="1">YEAR(TODAY())-YEAR(Table4[[#This Row],[Data nasterii]])</f>
        <v>56</v>
      </c>
      <c r="H6" s="65" t="str">
        <f ca="1">IF(Table4[[#This Row],[Varsta]]&lt;35,"Se incadreaza","A depasit")</f>
        <v>A depasit</v>
      </c>
      <c r="I6" s="65" t="s">
        <v>100</v>
      </c>
      <c r="J6" s="65" t="s">
        <v>100</v>
      </c>
      <c r="K6" s="65" t="s">
        <v>107</v>
      </c>
      <c r="L6" s="139">
        <v>8</v>
      </c>
      <c r="M6" s="66">
        <v>38506</v>
      </c>
      <c r="N6" s="72">
        <f ca="1">YEAR(TODAY())-YEAR(Table4[[#This Row],[Data angajarii]])</f>
        <v>21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6" x14ac:dyDescent="0.35">
      <c r="A7" s="141">
        <v>2</v>
      </c>
      <c r="B7" s="58" t="s">
        <v>68</v>
      </c>
      <c r="C7" s="59" t="s">
        <v>67</v>
      </c>
      <c r="D7" s="62">
        <v>1890223457018</v>
      </c>
      <c r="E7" s="63" t="str">
        <f>IF(LEFT(Table4[[#This Row],[CNP]],1)="2","F","M")</f>
        <v>M</v>
      </c>
      <c r="F7" s="64">
        <f>DATE(MID(Table4[[#This Row],[CNP]],2,2),MID(Table4[[#This Row],[CNP]],4,2),MID(Table4[[#This Row],[CNP]],6,2))</f>
        <v>32562</v>
      </c>
      <c r="G7" s="62">
        <f ca="1">YEAR(TODAY())-YEAR(Table4[[#This Row],[Data nasterii]])</f>
        <v>37</v>
      </c>
      <c r="H7" s="65" t="str">
        <f ca="1">IF(Table4[[#This Row],[Varsta]]&lt;35,"Se incadreaza","A depasit")</f>
        <v>A depasit</v>
      </c>
      <c r="I7" s="65" t="s">
        <v>101</v>
      </c>
      <c r="J7" s="65" t="s">
        <v>100</v>
      </c>
      <c r="K7" s="65" t="s">
        <v>108</v>
      </c>
      <c r="L7" s="139">
        <v>8</v>
      </c>
      <c r="M7" s="66">
        <v>41233</v>
      </c>
      <c r="N7" s="72">
        <f ca="1">YEAR(TODAY())-YEAR(Table4[[#This Row],[Data angajarii]])</f>
        <v>14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6" x14ac:dyDescent="0.35">
      <c r="A8" s="141">
        <v>3</v>
      </c>
      <c r="B8" s="58" t="s">
        <v>69</v>
      </c>
      <c r="C8" s="59" t="s">
        <v>70</v>
      </c>
      <c r="D8" s="62">
        <v>1880718392078</v>
      </c>
      <c r="E8" s="63" t="str">
        <f>IF(LEFT(Table4[[#This Row],[CNP]],1)="2","F","M")</f>
        <v>M</v>
      </c>
      <c r="F8" s="64">
        <f>DATE(MID(Table4[[#This Row],[CNP]],2,2),MID(Table4[[#This Row],[CNP]],4,2),MID(Table4[[#This Row],[CNP]],6,2))</f>
        <v>32342</v>
      </c>
      <c r="G8" s="62">
        <f ca="1">YEAR(TODAY())-YEAR(Table4[[#This Row],[Data nasterii]])</f>
        <v>38</v>
      </c>
      <c r="H8" s="65" t="str">
        <f ca="1">IF(Table4[[#This Row],[Varsta]]&lt;35,"Se incadreaza","A depasit")</f>
        <v>A depasit</v>
      </c>
      <c r="I8" s="65" t="s">
        <v>100</v>
      </c>
      <c r="J8" s="65" t="s">
        <v>100</v>
      </c>
      <c r="K8" s="65" t="s">
        <v>109</v>
      </c>
      <c r="L8" s="139">
        <v>8</v>
      </c>
      <c r="M8" s="66">
        <v>40788</v>
      </c>
      <c r="N8" s="72">
        <f ca="1">YEAR(TODAY())-YEAR(Table4[[#This Row],[Data angajarii]])</f>
        <v>15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6" x14ac:dyDescent="0.35">
      <c r="A9" s="141">
        <v>4</v>
      </c>
      <c r="B9" s="58" t="s">
        <v>71</v>
      </c>
      <c r="C9" s="59" t="s">
        <v>72</v>
      </c>
      <c r="D9" s="62">
        <v>1741101302427</v>
      </c>
      <c r="E9" s="63" t="str">
        <f>IF(LEFT(Table4[[#This Row],[CNP]],1)="2","F","M")</f>
        <v>M</v>
      </c>
      <c r="F9" s="64">
        <f>DATE(MID(Table4[[#This Row],[CNP]],2,2),MID(Table4[[#This Row],[CNP]],4,2),MID(Table4[[#This Row],[CNP]],6,2))</f>
        <v>27334</v>
      </c>
      <c r="G9" s="62">
        <f ca="1">YEAR(TODAY())-YEAR(Table4[[#This Row],[Data nasterii]])</f>
        <v>52</v>
      </c>
      <c r="H9" s="65" t="str">
        <f ca="1">IF(Table4[[#This Row],[Varsta]]&lt;35,"Se incadreaza","A depasit")</f>
        <v>A depasit</v>
      </c>
      <c r="I9" s="65" t="s">
        <v>102</v>
      </c>
      <c r="J9" s="65" t="s">
        <v>100</v>
      </c>
      <c r="K9" s="65" t="s">
        <v>110</v>
      </c>
      <c r="L9" s="139">
        <v>8</v>
      </c>
      <c r="M9" s="66">
        <v>40167</v>
      </c>
      <c r="N9" s="72">
        <f ca="1">YEAR(TODAY())-YEAR(Table4[[#This Row],[Data angajarii]])</f>
        <v>17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6" x14ac:dyDescent="0.35">
      <c r="A10" s="141">
        <v>5</v>
      </c>
      <c r="B10" s="58" t="s">
        <v>73</v>
      </c>
      <c r="C10" s="59" t="s">
        <v>74</v>
      </c>
      <c r="D10" s="62">
        <v>1820523108189</v>
      </c>
      <c r="E10" s="63" t="str">
        <f>IF(LEFT(Table4[[#This Row],[CNP]],1)="2","F","M")</f>
        <v>M</v>
      </c>
      <c r="F10" s="64">
        <f>DATE(MID(Table4[[#This Row],[CNP]],2,2),MID(Table4[[#This Row],[CNP]],4,2),MID(Table4[[#This Row],[CNP]],6,2))</f>
        <v>30094</v>
      </c>
      <c r="G10" s="62">
        <f ca="1">YEAR(TODAY())-YEAR(Table4[[#This Row],[Data nasterii]])</f>
        <v>44</v>
      </c>
      <c r="H10" s="65" t="str">
        <f ca="1">IF(Table4[[#This Row],[Varsta]]&lt;35,"Se incadreaza","A depasit")</f>
        <v>A depasit</v>
      </c>
      <c r="I10" s="65" t="s">
        <v>103</v>
      </c>
      <c r="J10" s="65" t="s">
        <v>100</v>
      </c>
      <c r="K10" s="65" t="s">
        <v>111</v>
      </c>
      <c r="L10" s="139">
        <v>8</v>
      </c>
      <c r="M10" s="66">
        <v>40864</v>
      </c>
      <c r="N10" s="72">
        <f ca="1">YEAR(TODAY())-YEAR(Table4[[#This Row],[Data angajarii]])</f>
        <v>15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6" x14ac:dyDescent="0.35">
      <c r="A11" s="141">
        <v>6</v>
      </c>
      <c r="B11" s="58" t="s">
        <v>75</v>
      </c>
      <c r="C11" s="59" t="s">
        <v>76</v>
      </c>
      <c r="D11" s="62">
        <v>1721209172890</v>
      </c>
      <c r="E11" s="63" t="str">
        <f>IF(LEFT(Table4[[#This Row],[CNP]],1)="2","F","M")</f>
        <v>M</v>
      </c>
      <c r="F11" s="64">
        <f>DATE(MID(Table4[[#This Row],[CNP]],2,2),MID(Table4[[#This Row],[CNP]],4,2),MID(Table4[[#This Row],[CNP]],6,2))</f>
        <v>26642</v>
      </c>
      <c r="G11" s="62">
        <f ca="1">YEAR(TODAY())-YEAR(Table4[[#This Row],[Data nasterii]])</f>
        <v>54</v>
      </c>
      <c r="H11" s="65" t="str">
        <f ca="1">IF(Table4[[#This Row],[Varsta]]&lt;35,"Se incadreaza","A depasit")</f>
        <v>A depasit</v>
      </c>
      <c r="I11" s="65" t="s">
        <v>104</v>
      </c>
      <c r="J11" s="65" t="s">
        <v>100</v>
      </c>
      <c r="K11" s="65" t="s">
        <v>112</v>
      </c>
      <c r="L11" s="139">
        <v>8</v>
      </c>
      <c r="M11" s="66">
        <v>39321</v>
      </c>
      <c r="N11" s="72">
        <f ca="1">YEAR(TODAY())-YEAR(Table4[[#This Row],[Data angajarii]])</f>
        <v>19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6" x14ac:dyDescent="0.35">
      <c r="A12" s="141">
        <v>7</v>
      </c>
      <c r="B12" s="58" t="s">
        <v>77</v>
      </c>
      <c r="C12" s="59" t="s">
        <v>78</v>
      </c>
      <c r="D12" s="62">
        <v>2900314273920</v>
      </c>
      <c r="E12" s="63" t="str">
        <f>IF(LEFT(Table4[[#This Row],[CNP]],1)="2","F","M")</f>
        <v>F</v>
      </c>
      <c r="F12" s="64">
        <f>DATE(MID(Table4[[#This Row],[CNP]],2,2),MID(Table4[[#This Row],[CNP]],4,2),MID(Table4[[#This Row],[CNP]],6,2))</f>
        <v>32946</v>
      </c>
      <c r="G12" s="62">
        <f ca="1">YEAR(TODAY())-YEAR(Table4[[#This Row],[Data nasterii]])</f>
        <v>36</v>
      </c>
      <c r="H12" s="65" t="str">
        <f ca="1">IF(Table4[[#This Row],[Varsta]]&lt;35,"Se incadreaza","A depasit")</f>
        <v>A depasit</v>
      </c>
      <c r="I12" s="65" t="s">
        <v>100</v>
      </c>
      <c r="J12" s="65" t="s">
        <v>100</v>
      </c>
      <c r="K12" s="65" t="s">
        <v>113</v>
      </c>
      <c r="L12" s="139">
        <v>8</v>
      </c>
      <c r="M12" s="66">
        <v>42286</v>
      </c>
      <c r="N12" s="72">
        <f ca="1">YEAR(TODAY())-YEAR(Table4[[#This Row],[Data angajarii]])</f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6" x14ac:dyDescent="0.35">
      <c r="A13" s="141">
        <v>8</v>
      </c>
      <c r="B13" s="58" t="s">
        <v>79</v>
      </c>
      <c r="C13" s="59" t="s">
        <v>80</v>
      </c>
      <c r="D13" s="62">
        <v>1871010348726</v>
      </c>
      <c r="E13" s="63" t="str">
        <f>IF(LEFT(Table4[[#This Row],[CNP]],1)="2","F","M")</f>
        <v>M</v>
      </c>
      <c r="F13" s="64">
        <f>DATE(MID(Table4[[#This Row],[CNP]],2,2),MID(Table4[[#This Row],[CNP]],4,2),MID(Table4[[#This Row],[CNP]],6,2))</f>
        <v>32060</v>
      </c>
      <c r="G13" s="62">
        <f ca="1">YEAR(TODAY())-YEAR(Table4[[#This Row],[Data nasterii]])</f>
        <v>39</v>
      </c>
      <c r="H13" s="65" t="str">
        <f ca="1">IF(Table4[[#This Row],[Varsta]]&lt;35,"Se incadreaza","A depasit")</f>
        <v>A depasit</v>
      </c>
      <c r="I13" s="65" t="s">
        <v>100</v>
      </c>
      <c r="J13" s="65" t="s">
        <v>100</v>
      </c>
      <c r="K13" s="65" t="s">
        <v>114</v>
      </c>
      <c r="L13" s="139">
        <v>8</v>
      </c>
      <c r="M13" s="66">
        <v>41861</v>
      </c>
      <c r="N13" s="72">
        <f ca="1">YEAR(TODAY())-YEAR(Table4[[#This Row],[Data angajarii]])</f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6" x14ac:dyDescent="0.35">
      <c r="A14" s="141">
        <v>9</v>
      </c>
      <c r="B14" s="58" t="s">
        <v>81</v>
      </c>
      <c r="C14" s="59" t="s">
        <v>82</v>
      </c>
      <c r="D14" s="62">
        <v>1690210324827</v>
      </c>
      <c r="E14" s="63" t="str">
        <f>IF(LEFT(Table4[[#This Row],[CNP]],1)="2","F","M")</f>
        <v>M</v>
      </c>
      <c r="F14" s="64">
        <f>DATE(MID(Table4[[#This Row],[CNP]],2,2),MID(Table4[[#This Row],[CNP]],4,2),MID(Table4[[#This Row],[CNP]],6,2))</f>
        <v>25244</v>
      </c>
      <c r="G14" s="62">
        <f ca="1">YEAR(TODAY())-YEAR(Table4[[#This Row],[Data nasterii]])</f>
        <v>57</v>
      </c>
      <c r="H14" s="65" t="str">
        <f ca="1">IF(Table4[[#This Row],[Varsta]]&lt;35,"Se incadreaza","A depasit")</f>
        <v>A depasit</v>
      </c>
      <c r="I14" s="65" t="s">
        <v>102</v>
      </c>
      <c r="J14" s="65" t="s">
        <v>100</v>
      </c>
      <c r="K14" s="65" t="s">
        <v>115</v>
      </c>
      <c r="L14" s="139">
        <v>8</v>
      </c>
      <c r="M14" s="66">
        <v>39519</v>
      </c>
      <c r="N14" s="72">
        <f ca="1">YEAR(TODAY())-YEAR(Table4[[#This Row],[Data angajarii]])</f>
        <v>18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6" x14ac:dyDescent="0.35">
      <c r="A15" s="141">
        <v>10</v>
      </c>
      <c r="B15" s="58" t="s">
        <v>87</v>
      </c>
      <c r="C15" s="59" t="s">
        <v>70</v>
      </c>
      <c r="D15" s="62">
        <v>1910918324891</v>
      </c>
      <c r="E15" s="63" t="str">
        <f>IF(LEFT(Table4[[#This Row],[CNP]],1)="2","F","M")</f>
        <v>M</v>
      </c>
      <c r="F15" s="64">
        <f>DATE(MID(Table4[[#This Row],[CNP]],2,2),MID(Table4[[#This Row],[CNP]],4,2),MID(Table4[[#This Row],[CNP]],6,2))</f>
        <v>33499</v>
      </c>
      <c r="G15" s="62">
        <f ca="1">YEAR(TODAY())-YEAR(Table4[[#This Row],[Data nasterii]])</f>
        <v>35</v>
      </c>
      <c r="H15" s="65" t="str">
        <f ca="1">IF(Table4[[#This Row],[Varsta]]&lt;35,"Se incadreaza","A depasit")</f>
        <v>A depasit</v>
      </c>
      <c r="I15" s="65" t="s">
        <v>100</v>
      </c>
      <c r="J15" s="65" t="s">
        <v>100</v>
      </c>
      <c r="K15" s="65" t="s">
        <v>116</v>
      </c>
      <c r="L15" s="139">
        <v>8</v>
      </c>
      <c r="M15" s="66">
        <v>41993</v>
      </c>
      <c r="N15" s="72">
        <f ca="1">YEAR(TODAY())-YEAR(Table4[[#This Row],[Data angajarii]])</f>
        <v>12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6" x14ac:dyDescent="0.35">
      <c r="A16" s="141">
        <v>11</v>
      </c>
      <c r="B16" s="58" t="s">
        <v>88</v>
      </c>
      <c r="C16" s="59" t="s">
        <v>83</v>
      </c>
      <c r="D16" s="62">
        <v>2930517328977</v>
      </c>
      <c r="E16" s="63" t="str">
        <f>IF(LEFT(Table4[[#This Row],[CNP]],1)="2","F","M")</f>
        <v>F</v>
      </c>
      <c r="F16" s="64">
        <f>DATE(MID(Table4[[#This Row],[CNP]],2,2),MID(Table4[[#This Row],[CNP]],4,2),MID(Table4[[#This Row],[CNP]],6,2))</f>
        <v>34106</v>
      </c>
      <c r="G16" s="62">
        <f ca="1">YEAR(TODAY())-YEAR(Table4[[#This Row],[Data nasterii]])</f>
        <v>33</v>
      </c>
      <c r="H16" s="65" t="str">
        <f ca="1">IF(Table4[[#This Row],[Varsta]]&lt;35,"Se incadreaza","A depasit")</f>
        <v>Se incadreaza</v>
      </c>
      <c r="I16" s="65" t="s">
        <v>101</v>
      </c>
      <c r="J16" s="65" t="s">
        <v>100</v>
      </c>
      <c r="K16" s="65" t="s">
        <v>116</v>
      </c>
      <c r="L16" s="139">
        <v>8</v>
      </c>
      <c r="M16" s="66">
        <v>42139</v>
      </c>
      <c r="N16" s="72">
        <f ca="1">YEAR(TODAY())-YEAR(Table4[[#This Row],[Data angajarii]])</f>
        <v>11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6" x14ac:dyDescent="0.35">
      <c r="A17" s="141">
        <v>12</v>
      </c>
      <c r="B17" s="58" t="s">
        <v>89</v>
      </c>
      <c r="C17" s="59" t="s">
        <v>94</v>
      </c>
      <c r="D17" s="62">
        <v>1871112034827</v>
      </c>
      <c r="E17" s="63" t="str">
        <f>IF(LEFT(Table4[[#This Row],[CNP]],1)="2","F","M")</f>
        <v>M</v>
      </c>
      <c r="F17" s="64">
        <f>DATE(MID(Table4[[#This Row],[CNP]],2,2),MID(Table4[[#This Row],[CNP]],4,2),MID(Table4[[#This Row],[CNP]],6,2))</f>
        <v>32093</v>
      </c>
      <c r="G17" s="62">
        <f ca="1">YEAR(TODAY())-YEAR(Table4[[#This Row],[Data nasterii]])</f>
        <v>39</v>
      </c>
      <c r="H17" s="65" t="str">
        <f ca="1">IF(Table4[[#This Row],[Varsta]]&lt;35,"Se incadreaza","A depasit")</f>
        <v>A depasit</v>
      </c>
      <c r="I17" s="65" t="s">
        <v>100</v>
      </c>
      <c r="J17" s="65" t="s">
        <v>100</v>
      </c>
      <c r="K17" s="65" t="s">
        <v>117</v>
      </c>
      <c r="L17" s="139">
        <v>8</v>
      </c>
      <c r="M17" s="66">
        <v>41792</v>
      </c>
      <c r="N17" s="72">
        <f ca="1">YEAR(TODAY())-YEAR(Table4[[#This Row],[Data angajarii]])</f>
        <v>12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6" x14ac:dyDescent="0.35">
      <c r="A18" s="141">
        <v>13</v>
      </c>
      <c r="B18" s="58" t="s">
        <v>90</v>
      </c>
      <c r="C18" s="59" t="s">
        <v>84</v>
      </c>
      <c r="D18" s="62">
        <v>1750203394721</v>
      </c>
      <c r="E18" s="63" t="str">
        <f>IF(LEFT(Table4[[#This Row],[CNP]],1)="2","F","M")</f>
        <v>M</v>
      </c>
      <c r="F18" s="64">
        <f>DATE(MID(Table4[[#This Row],[CNP]],2,2),MID(Table4[[#This Row],[CNP]],4,2),MID(Table4[[#This Row],[CNP]],6,2))</f>
        <v>27428</v>
      </c>
      <c r="G18" s="62">
        <f ca="1">YEAR(TODAY())-YEAR(Table4[[#This Row],[Data nasterii]])</f>
        <v>51</v>
      </c>
      <c r="H18" s="65" t="str">
        <f ca="1">IF(Table4[[#This Row],[Varsta]]&lt;35,"Se incadreaza","A depasit")</f>
        <v>A depasit</v>
      </c>
      <c r="I18" s="65" t="s">
        <v>105</v>
      </c>
      <c r="J18" s="65" t="s">
        <v>100</v>
      </c>
      <c r="K18" s="65" t="s">
        <v>117</v>
      </c>
      <c r="L18" s="139">
        <v>8</v>
      </c>
      <c r="M18" s="66">
        <v>39874</v>
      </c>
      <c r="N18" s="72">
        <f ca="1">YEAR(TODAY())-YEAR(Table4[[#This Row],[Data angajarii]])</f>
        <v>17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6" x14ac:dyDescent="0.35">
      <c r="A19" s="141">
        <v>14</v>
      </c>
      <c r="B19" s="58" t="s">
        <v>91</v>
      </c>
      <c r="C19" s="59" t="s">
        <v>95</v>
      </c>
      <c r="D19" s="62">
        <v>1880212304827</v>
      </c>
      <c r="E19" s="63" t="str">
        <f>IF(LEFT(Table4[[#This Row],[CNP]],1)="2","F","M")</f>
        <v>M</v>
      </c>
      <c r="F19" s="64">
        <f>DATE(MID(Table4[[#This Row],[CNP]],2,2),MID(Table4[[#This Row],[CNP]],4,2),MID(Table4[[#This Row],[CNP]],6,2))</f>
        <v>32185</v>
      </c>
      <c r="G19" s="62">
        <f ca="1">YEAR(TODAY())-YEAR(Table4[[#This Row],[Data nasterii]])</f>
        <v>38</v>
      </c>
      <c r="H19" s="65" t="str">
        <f ca="1">IF(Table4[[#This Row],[Varsta]]&lt;35,"Se incadreaza","A depasit")</f>
        <v>A depasit</v>
      </c>
      <c r="I19" s="65" t="s">
        <v>100</v>
      </c>
      <c r="J19" s="65" t="s">
        <v>100</v>
      </c>
      <c r="K19" s="65" t="s">
        <v>118</v>
      </c>
      <c r="L19" s="139">
        <v>8</v>
      </c>
      <c r="M19" s="66">
        <v>41275</v>
      </c>
      <c r="N19" s="72">
        <f ca="1">YEAR(TODAY())-YEAR(Table4[[#This Row],[Data angajarii]])</f>
        <v>13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6" x14ac:dyDescent="0.35">
      <c r="A20" s="141">
        <v>15</v>
      </c>
      <c r="B20" s="58" t="s">
        <v>92</v>
      </c>
      <c r="C20" s="59" t="s">
        <v>85</v>
      </c>
      <c r="D20" s="62">
        <v>2851203472927</v>
      </c>
      <c r="E20" s="63" t="str">
        <f>IF(LEFT(Table4[[#This Row],[CNP]],1)="2","F","M")</f>
        <v>F</v>
      </c>
      <c r="F20" s="64">
        <f>DATE(MID(Table4[[#This Row],[CNP]],2,2),MID(Table4[[#This Row],[CNP]],4,2),MID(Table4[[#This Row],[CNP]],6,2))</f>
        <v>31384</v>
      </c>
      <c r="G20" s="62">
        <f ca="1">YEAR(TODAY())-YEAR(Table4[[#This Row],[Data nasterii]])</f>
        <v>41</v>
      </c>
      <c r="H20" s="65" t="str">
        <f ca="1">IF(Table4[[#This Row],[Varsta]]&lt;35,"Se incadreaza","A depasit")</f>
        <v>A depasit</v>
      </c>
      <c r="I20" s="65" t="s">
        <v>106</v>
      </c>
      <c r="J20" s="65" t="s">
        <v>100</v>
      </c>
      <c r="K20" s="65" t="s">
        <v>118</v>
      </c>
      <c r="L20" s="139">
        <v>8</v>
      </c>
      <c r="M20" s="66">
        <v>40924</v>
      </c>
      <c r="N20" s="72">
        <f ca="1">YEAR(TODAY())-YEAR(Table4[[#This Row],[Data angajarii]])</f>
        <v>14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6" x14ac:dyDescent="0.35">
      <c r="A21" s="141">
        <v>16</v>
      </c>
      <c r="B21" s="58" t="s">
        <v>84</v>
      </c>
      <c r="C21" s="59" t="s">
        <v>96</v>
      </c>
      <c r="D21" s="62">
        <v>1720907384921</v>
      </c>
      <c r="E21" s="63" t="str">
        <f>IF(LEFT(Table4[[#This Row],[CNP]],1)="2","F","M")</f>
        <v>M</v>
      </c>
      <c r="F21" s="64">
        <f>DATE(MID(Table4[[#This Row],[CNP]],2,2),MID(Table4[[#This Row],[CNP]],4,2),MID(Table4[[#This Row],[CNP]],6,2))</f>
        <v>26549</v>
      </c>
      <c r="G21" s="62">
        <f ca="1">YEAR(TODAY())-YEAR(Table4[[#This Row],[Data nasterii]])</f>
        <v>54</v>
      </c>
      <c r="H21" s="65" t="str">
        <f ca="1">IF(Table4[[#This Row],[Varsta]]&lt;35,"Se incadreaza","A depasit")</f>
        <v>A depasit</v>
      </c>
      <c r="I21" s="65" t="s">
        <v>106</v>
      </c>
      <c r="J21" s="65" t="s">
        <v>100</v>
      </c>
      <c r="K21" s="65" t="s">
        <v>119</v>
      </c>
      <c r="L21" s="139">
        <v>8</v>
      </c>
      <c r="M21" s="66">
        <v>39974</v>
      </c>
      <c r="N21" s="72">
        <f ca="1">YEAR(TODAY())-YEAR(Table4[[#This Row],[Data angajarii]])</f>
        <v>17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6" x14ac:dyDescent="0.35">
      <c r="A22" s="141">
        <v>17</v>
      </c>
      <c r="B22" s="60" t="s">
        <v>93</v>
      </c>
      <c r="C22" s="61" t="s">
        <v>86</v>
      </c>
      <c r="D22" s="67">
        <v>2920310392842</v>
      </c>
      <c r="E22" s="68" t="str">
        <f>IF(LEFT(Table4[[#This Row],[CNP]],1)="2","F","M")</f>
        <v>F</v>
      </c>
      <c r="F22" s="69">
        <f>DATE(MID(Table4[[#This Row],[CNP]],2,2),MID(Table4[[#This Row],[CNP]],4,2),MID(Table4[[#This Row],[CNP]],6,2))</f>
        <v>33673</v>
      </c>
      <c r="G22" s="67">
        <f ca="1">YEAR(TODAY())-YEAR(Table4[[#This Row],[Data nasterii]])</f>
        <v>34</v>
      </c>
      <c r="H22" s="70" t="str">
        <f ca="1">IF(Table4[[#This Row],[Varsta]]&lt;35,"Se incadreaza","A depasit")</f>
        <v>Se incadreaza</v>
      </c>
      <c r="I22" s="70" t="s">
        <v>100</v>
      </c>
      <c r="J22" s="65" t="s">
        <v>100</v>
      </c>
      <c r="K22" s="70" t="s">
        <v>119</v>
      </c>
      <c r="L22" s="139">
        <v>8</v>
      </c>
      <c r="M22" s="71">
        <v>41095</v>
      </c>
      <c r="N22" s="73">
        <f ca="1">YEAR(TODAY())-YEAR(Table4[[#This Row],[Data angajarii]])</f>
        <v>14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.399999999999999" x14ac:dyDescent="0.3">
      <c r="A24" s="10"/>
      <c r="B24" s="10"/>
      <c r="C24" s="10"/>
      <c r="D24" s="156" t="s">
        <v>200</v>
      </c>
      <c r="E24" s="156"/>
      <c r="F24" s="156"/>
      <c r="G24" s="156"/>
      <c r="H24" s="15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thickBo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thickBo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75" t="s">
        <v>120</v>
      </c>
      <c r="L27" s="74">
        <f>COUNTIF(Table4[Gen],"F")</f>
        <v>5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thickBo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75" t="s">
        <v>121</v>
      </c>
      <c r="L28" s="74">
        <f>COUNTIF(Table4[Gen],"M")</f>
        <v>12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thickBo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55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6" thickTop="1" thickBo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61" t="s">
        <v>199</v>
      </c>
      <c r="L46" s="161" t="s">
        <v>99</v>
      </c>
      <c r="M46" s="161" t="s">
        <v>63</v>
      </c>
      <c r="N46" s="161" t="s">
        <v>201</v>
      </c>
      <c r="O46" s="161" t="s">
        <v>202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6" thickTop="1" thickBo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60" t="s">
        <v>66</v>
      </c>
      <c r="L47" s="157">
        <f>HLOOKUP(L46,angajati,2,0)</f>
        <v>25868</v>
      </c>
      <c r="M47" s="158">
        <f ca="1">HLOOKUP(M46,A5:G22,2,0)</f>
        <v>56</v>
      </c>
      <c r="N47" s="159">
        <f ca="1">YEAR(TODAY())-YEAR(L47)</f>
        <v>56</v>
      </c>
      <c r="O47" s="158" t="str">
        <f ca="1">IF(M47=N47,"Corect","Fals")</f>
        <v>Corect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6" thickTop="1" thickBo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60" t="s">
        <v>77</v>
      </c>
      <c r="L48" s="157">
        <f>HLOOKUP(L46,angajati,8,0)</f>
        <v>32946</v>
      </c>
      <c r="M48" s="158">
        <f ca="1">HLOOKUP(M46,A5:G22,8,0)</f>
        <v>36</v>
      </c>
      <c r="N48" s="159">
        <f t="shared" ref="N48:N51" ca="1" si="0">YEAR(TODAY())-YEAR(L48)</f>
        <v>36</v>
      </c>
      <c r="O48" s="158" t="str">
        <f t="shared" ref="O48:O51" ca="1" si="1">IF(M48=N48,"Corect","Fals")</f>
        <v>Corect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6" thickTop="1" thickBo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60" t="s">
        <v>91</v>
      </c>
      <c r="L49" s="157">
        <f>HLOOKUP(L46,angajati,15,0)</f>
        <v>32185</v>
      </c>
      <c r="M49" s="158">
        <f ca="1">HLOOKUP(M46,A5:G22,15,0)</f>
        <v>38</v>
      </c>
      <c r="N49" s="159">
        <f t="shared" ca="1" si="0"/>
        <v>38</v>
      </c>
      <c r="O49" s="158" t="str">
        <f t="shared" ca="1" si="1"/>
        <v>Corect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6" thickTop="1" thickBo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60" t="s">
        <v>79</v>
      </c>
      <c r="L50" s="157">
        <f>HLOOKUP(L46,angajati,9,0)</f>
        <v>32060</v>
      </c>
      <c r="M50" s="158">
        <f ca="1">HLOOKUP(M46,A5:G22,9,0)</f>
        <v>39</v>
      </c>
      <c r="N50" s="159">
        <f t="shared" ca="1" si="0"/>
        <v>39</v>
      </c>
      <c r="O50" s="158" t="str">
        <f t="shared" ca="1" si="1"/>
        <v>Corect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6" thickTop="1" thickBo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60" t="s">
        <v>84</v>
      </c>
      <c r="L51" s="157">
        <f>HLOOKUP(L46,angajati,17,0)</f>
        <v>26549</v>
      </c>
      <c r="M51" s="158">
        <f ca="1">HLOOKUP(M46,A5:G22,17,0)</f>
        <v>54</v>
      </c>
      <c r="N51" s="159">
        <f t="shared" ca="1" si="0"/>
        <v>54</v>
      </c>
      <c r="O51" s="158" t="str">
        <f t="shared" ca="1" si="1"/>
        <v>Corect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thickTop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34" t="s">
        <v>187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</sheetData>
  <sheetProtection sheet="1" objects="1" scenarios="1"/>
  <autoFilter ref="A5:A22"/>
  <sortState ref="Q9:Q11">
    <sortCondition ref="Q9"/>
  </sortState>
  <conditionalFormatting sqref="G6:G2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{46FE8B73-EBC9-4C0E-B326-F6A5EA7104E5}</x14:id>
        </ext>
      </extLst>
    </cfRule>
  </conditionalFormatting>
  <conditionalFormatting sqref="H6:H22">
    <cfRule type="containsText" dxfId="40" priority="5" operator="containsText" text="A depasit">
      <formula>NOT(ISERROR(SEARCH("A depasit",H6)))</formula>
    </cfRule>
  </conditionalFormatting>
  <conditionalFormatting sqref="N6:N2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{A17A040B-BFAC-408F-B2A9-8811A1FAB188}</x14:id>
        </ext>
      </extLst>
    </cfRule>
  </conditionalFormatting>
  <conditionalFormatting sqref="O47:O51">
    <cfRule type="containsText" dxfId="39" priority="3" operator="containsText" text="Corect">
      <formula>NOT(ISERROR(SEARCH("Corect",O47)))</formula>
    </cfRule>
  </conditionalFormatting>
  <hyperlinks>
    <hyperlink ref="N3" location="Acasa!A1" display="Home"/>
  </hyperlink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E8B73-EBC9-4C0E-B326-F6A5EA7104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G6:G22</xm:sqref>
        </x14:conditionalFormatting>
        <x14:conditionalFormatting xmlns:xm="http://schemas.microsoft.com/office/excel/2006/main">
          <x14:cfRule type="dataBar" id="{A17A040B-BFAC-408F-B2A9-8811A1FAB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N6:N22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U37"/>
  <sheetViews>
    <sheetView workbookViewId="0">
      <selection activeCell="T2" sqref="T2"/>
    </sheetView>
  </sheetViews>
  <sheetFormatPr defaultRowHeight="14.4" x14ac:dyDescent="0.3"/>
  <cols>
    <col min="1" max="1" width="9.21875" customWidth="1"/>
    <col min="2" max="2" width="8.88671875" customWidth="1"/>
    <col min="4" max="4" width="21.88671875" customWidth="1"/>
    <col min="5" max="5" width="11.5546875" customWidth="1"/>
    <col min="6" max="6" width="11.109375" customWidth="1"/>
    <col min="7" max="7" width="9.6640625" customWidth="1"/>
    <col min="8" max="8" width="10.44140625" customWidth="1"/>
    <col min="9" max="9" width="9.33203125" customWidth="1"/>
  </cols>
  <sheetData>
    <row r="1" spans="1:21" ht="23.4" x14ac:dyDescent="0.45">
      <c r="A1" s="16"/>
      <c r="B1" s="16"/>
      <c r="C1" s="16"/>
      <c r="D1" s="16"/>
      <c r="E1" s="16"/>
      <c r="F1" s="16"/>
      <c r="G1" s="30" t="s">
        <v>21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6.8" customHeight="1" x14ac:dyDescent="0.45">
      <c r="A2" s="16"/>
      <c r="B2" s="16"/>
      <c r="C2" s="16"/>
      <c r="D2" s="16"/>
      <c r="E2" s="16"/>
      <c r="F2" s="16"/>
      <c r="G2" s="3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32" t="s">
        <v>7</v>
      </c>
      <c r="U2" s="16"/>
    </row>
    <row r="3" spans="1:21" ht="17.399999999999999" customHeight="1" x14ac:dyDescent="0.35">
      <c r="A3" s="45" t="s">
        <v>23</v>
      </c>
      <c r="B3" s="50"/>
      <c r="C3" s="49"/>
      <c r="D3" s="50"/>
      <c r="E3" s="50"/>
      <c r="F3" s="50"/>
      <c r="G3" s="49"/>
      <c r="H3" s="49"/>
      <c r="I3" s="49"/>
      <c r="J3" s="16"/>
      <c r="K3" s="49"/>
      <c r="L3" s="49"/>
      <c r="M3" s="49"/>
      <c r="N3" s="49"/>
      <c r="O3" s="49"/>
      <c r="P3" s="49"/>
      <c r="Q3" s="49"/>
      <c r="R3" s="49"/>
      <c r="S3" s="16"/>
      <c r="T3" s="16"/>
      <c r="U3" s="16"/>
    </row>
    <row r="4" spans="1:21" ht="15" customHeight="1" thickBot="1" x14ac:dyDescent="0.35">
      <c r="A4" s="16"/>
      <c r="B4" s="17"/>
      <c r="C4" s="16"/>
      <c r="D4" s="17"/>
      <c r="E4" s="17"/>
      <c r="F4" s="17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42.6" customHeight="1" thickBot="1" x14ac:dyDescent="0.35">
      <c r="A5" s="16"/>
      <c r="B5" s="16"/>
      <c r="C5" s="226" t="s">
        <v>22</v>
      </c>
      <c r="D5" s="25" t="s">
        <v>12</v>
      </c>
      <c r="E5" s="26" t="s">
        <v>15</v>
      </c>
      <c r="F5" s="26" t="s">
        <v>16</v>
      </c>
      <c r="G5" s="26" t="s">
        <v>17</v>
      </c>
      <c r="H5" s="26" t="s">
        <v>18</v>
      </c>
      <c r="I5" s="27" t="s">
        <v>19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" thickBot="1" x14ac:dyDescent="0.35">
      <c r="A6" s="16"/>
      <c r="B6" s="16"/>
      <c r="C6" s="227"/>
      <c r="D6" s="24" t="s">
        <v>8</v>
      </c>
      <c r="E6" s="14">
        <v>4</v>
      </c>
      <c r="F6" s="14">
        <v>2</v>
      </c>
      <c r="G6" s="14">
        <v>3</v>
      </c>
      <c r="H6" s="14">
        <v>4</v>
      </c>
      <c r="I6" s="15">
        <v>3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15" thickBot="1" x14ac:dyDescent="0.35">
      <c r="A7" s="16"/>
      <c r="B7" s="16"/>
      <c r="C7" s="227"/>
      <c r="D7" s="24" t="s">
        <v>9</v>
      </c>
      <c r="E7" s="14">
        <v>5</v>
      </c>
      <c r="F7" s="14">
        <v>3</v>
      </c>
      <c r="G7" s="14">
        <v>4</v>
      </c>
      <c r="H7" s="14">
        <v>3</v>
      </c>
      <c r="I7" s="15">
        <v>6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5" thickBot="1" x14ac:dyDescent="0.35">
      <c r="A8" s="16"/>
      <c r="B8" s="16"/>
      <c r="C8" s="227"/>
      <c r="D8" s="24" t="s">
        <v>10</v>
      </c>
      <c r="E8" s="14">
        <v>6</v>
      </c>
      <c r="F8" s="14">
        <v>5</v>
      </c>
      <c r="G8" s="14">
        <v>3</v>
      </c>
      <c r="H8" s="14">
        <v>5</v>
      </c>
      <c r="I8" s="15">
        <v>8</v>
      </c>
      <c r="J8" s="16"/>
      <c r="K8" s="16"/>
      <c r="L8" s="16"/>
      <c r="M8" s="16"/>
      <c r="N8" s="44"/>
      <c r="O8" s="16"/>
      <c r="P8" s="16"/>
      <c r="Q8" s="16"/>
      <c r="R8" s="16"/>
      <c r="S8" s="16"/>
      <c r="T8" s="16"/>
      <c r="U8" s="16"/>
    </row>
    <row r="9" spans="1:21" ht="15" thickBot="1" x14ac:dyDescent="0.35">
      <c r="A9" s="16"/>
      <c r="B9" s="16"/>
      <c r="C9" s="227"/>
      <c r="D9" s="24" t="s">
        <v>11</v>
      </c>
      <c r="E9" s="14">
        <v>10</v>
      </c>
      <c r="F9" s="14">
        <v>8</v>
      </c>
      <c r="G9" s="14">
        <v>9</v>
      </c>
      <c r="H9" s="14">
        <v>8</v>
      </c>
      <c r="I9" s="33">
        <v>12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5" thickBot="1" x14ac:dyDescent="0.35">
      <c r="A10" s="16"/>
      <c r="B10" s="16"/>
      <c r="C10" s="227"/>
      <c r="D10" s="21" t="s">
        <v>13</v>
      </c>
      <c r="E10" s="22">
        <f>SUM(E6:E9)</f>
        <v>25</v>
      </c>
      <c r="F10" s="22">
        <f>SUM(F6:F9)</f>
        <v>18</v>
      </c>
      <c r="G10" s="22">
        <f>SUM(G6:G9)</f>
        <v>19</v>
      </c>
      <c r="H10" s="22">
        <f>SUM(H6:H9)</f>
        <v>20</v>
      </c>
      <c r="I10" s="23">
        <f>SUM(I6:I9)</f>
        <v>29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5" thickBot="1" x14ac:dyDescent="0.35">
      <c r="A11" s="16"/>
      <c r="B11" s="16"/>
      <c r="C11" s="228"/>
      <c r="D11" s="18" t="s">
        <v>14</v>
      </c>
      <c r="E11" s="19">
        <v>20</v>
      </c>
      <c r="F11" s="19">
        <v>16</v>
      </c>
      <c r="G11" s="19">
        <v>18</v>
      </c>
      <c r="H11" s="19">
        <v>23</v>
      </c>
      <c r="I11" s="20">
        <v>25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7" customHeight="1" x14ac:dyDescent="0.3">
      <c r="A13" s="44"/>
      <c r="B13" s="229" t="s">
        <v>335</v>
      </c>
      <c r="C13" s="229"/>
      <c r="D13" s="229"/>
      <c r="E13" s="229"/>
      <c r="F13" s="229"/>
      <c r="G13" s="49"/>
      <c r="H13" s="229" t="s">
        <v>336</v>
      </c>
      <c r="I13" s="229"/>
      <c r="J13" s="229"/>
      <c r="K13" s="229"/>
      <c r="L13" s="229"/>
      <c r="M13" s="229"/>
      <c r="N13" s="229"/>
      <c r="O13" s="229"/>
      <c r="P13" s="229"/>
      <c r="Q13" s="49"/>
      <c r="R13" s="49"/>
      <c r="S13" s="49"/>
      <c r="T13" s="49"/>
      <c r="U13" s="16"/>
    </row>
    <row r="14" spans="1:2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5" x14ac:dyDescent="0.35">
      <c r="A30" s="16"/>
      <c r="B30" s="16"/>
      <c r="C30" s="16"/>
      <c r="D30" s="207" t="s">
        <v>337</v>
      </c>
      <c r="E30" s="16"/>
      <c r="F30" s="16"/>
      <c r="G30" s="16"/>
      <c r="H30" s="16"/>
      <c r="I30" s="16"/>
      <c r="J30" s="16"/>
      <c r="K30" s="31"/>
      <c r="L30" s="208" t="s">
        <v>338</v>
      </c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3">
      <c r="A31" s="16"/>
      <c r="B31" s="16"/>
      <c r="C31" s="16"/>
      <c r="D31" s="20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</sheetData>
  <sheetProtection sheet="1" objects="1" scenarios="1"/>
  <mergeCells count="3">
    <mergeCell ref="C5:C11"/>
    <mergeCell ref="H13:P13"/>
    <mergeCell ref="B13:F13"/>
  </mergeCells>
  <conditionalFormatting sqref="E6:I9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hyperlinks>
    <hyperlink ref="T2" location="Acasa!A1" display="home"/>
  </hyperlink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52"/>
  <sheetViews>
    <sheetView workbookViewId="0">
      <pane xSplit="1" topLeftCell="B1" activePane="topRight" state="frozen"/>
      <selection pane="topRight" activeCell="A21" sqref="A21"/>
    </sheetView>
  </sheetViews>
  <sheetFormatPr defaultRowHeight="14.4" x14ac:dyDescent="0.3"/>
  <cols>
    <col min="1" max="1" width="20.33203125" customWidth="1"/>
    <col min="2" max="2" width="24.88671875" customWidth="1"/>
    <col min="3" max="3" width="16.33203125" customWidth="1"/>
    <col min="4" max="4" width="24.21875" customWidth="1"/>
    <col min="5" max="5" width="22.33203125" customWidth="1"/>
    <col min="6" max="6" width="17.88671875" customWidth="1"/>
    <col min="7" max="7" width="17.77734375" customWidth="1"/>
    <col min="8" max="8" width="16.33203125" customWidth="1"/>
    <col min="9" max="9" width="16" customWidth="1"/>
    <col min="10" max="10" width="16.44140625" customWidth="1"/>
    <col min="11" max="11" width="7.6640625" customWidth="1"/>
    <col min="12" max="12" width="19.33203125" customWidth="1"/>
    <col min="13" max="13" width="19" customWidth="1"/>
    <col min="14" max="14" width="18.109375" customWidth="1"/>
    <col min="15" max="15" width="15.21875" customWidth="1"/>
    <col min="16" max="16" width="14.6640625" customWidth="1"/>
  </cols>
  <sheetData>
    <row r="1" spans="1:16" ht="23.4" x14ac:dyDescent="0.45">
      <c r="D1" s="154"/>
      <c r="E1" s="245" t="s">
        <v>186</v>
      </c>
      <c r="F1" s="245"/>
      <c r="G1" s="245"/>
      <c r="K1" s="153" t="s">
        <v>7</v>
      </c>
    </row>
    <row r="2" spans="1:16" ht="16.8" customHeight="1" thickBot="1" x14ac:dyDescent="0.35">
      <c r="L2" s="132"/>
    </row>
    <row r="3" spans="1:16" ht="51.6" customHeight="1" thickBot="1" x14ac:dyDescent="0.35">
      <c r="A3" s="34" t="s">
        <v>24</v>
      </c>
      <c r="B3" s="34" t="s">
        <v>25</v>
      </c>
      <c r="C3" s="34" t="s">
        <v>123</v>
      </c>
      <c r="D3" s="35" t="s">
        <v>26</v>
      </c>
      <c r="E3" s="35" t="s">
        <v>27</v>
      </c>
      <c r="F3" s="35" t="s">
        <v>41</v>
      </c>
      <c r="G3" s="35" t="s">
        <v>42</v>
      </c>
      <c r="H3" s="35" t="s">
        <v>43</v>
      </c>
      <c r="I3" s="35" t="s">
        <v>44</v>
      </c>
      <c r="J3" s="35" t="s">
        <v>188</v>
      </c>
      <c r="K3" s="35" t="s">
        <v>196</v>
      </c>
      <c r="L3" s="35" t="s">
        <v>213</v>
      </c>
      <c r="M3" s="35" t="s">
        <v>214</v>
      </c>
      <c r="N3" s="35" t="s">
        <v>215</v>
      </c>
      <c r="O3" s="35" t="s">
        <v>216</v>
      </c>
      <c r="P3" s="35" t="s">
        <v>221</v>
      </c>
    </row>
    <row r="4" spans="1:16" ht="15" thickBot="1" x14ac:dyDescent="0.35">
      <c r="A4" s="36" t="s">
        <v>28</v>
      </c>
      <c r="B4" s="37" t="s">
        <v>37</v>
      </c>
      <c r="C4" s="38">
        <v>200000</v>
      </c>
      <c r="D4" s="39">
        <v>39428</v>
      </c>
      <c r="E4" s="39">
        <v>50386</v>
      </c>
      <c r="F4" s="37" t="str">
        <f ca="1">IF(E4&gt;TODAY(),"In curs de achitare","Achitat")</f>
        <v>In curs de achitare</v>
      </c>
      <c r="G4" s="128">
        <f t="shared" ref="G4:G26" si="0">DATEDIF(D4,E4,"y")</f>
        <v>30</v>
      </c>
      <c r="H4" s="137">
        <v>1.4999999999999999E-2</v>
      </c>
      <c r="I4" s="40">
        <f t="shared" ref="I4:I26" si="1">C4*(1+(G4*H4))</f>
        <v>290000</v>
      </c>
      <c r="J4" s="171">
        <f>I4/I$28</f>
        <v>0.14456449944542066</v>
      </c>
      <c r="K4" s="128">
        <v>0</v>
      </c>
      <c r="L4" s="40">
        <f>-PV(H4,G4,K4,I4)</f>
        <v>185531.10467288247</v>
      </c>
      <c r="M4" s="40">
        <f>-FV(H4,G4,K4,I4)</f>
        <v>453293.26394234633</v>
      </c>
      <c r="N4" s="40">
        <f>PMT(H4/12,G4*12,-I4)</f>
        <v>1000.8486103271181</v>
      </c>
      <c r="O4" s="40">
        <f>-PV(H4,G4,N4,I4)</f>
        <v>209567.32276726287</v>
      </c>
      <c r="P4" s="40">
        <f>-FV(H4,G4,N4,I4)</f>
        <v>490863.80102107656</v>
      </c>
    </row>
    <row r="5" spans="1:16" ht="15" thickBot="1" x14ac:dyDescent="0.35">
      <c r="A5" s="36" t="s">
        <v>28</v>
      </c>
      <c r="B5" s="37" t="s">
        <v>38</v>
      </c>
      <c r="C5" s="38">
        <v>150000</v>
      </c>
      <c r="D5" s="39">
        <v>38632</v>
      </c>
      <c r="E5" s="39">
        <v>43838</v>
      </c>
      <c r="F5" s="37" t="str">
        <f t="shared" ref="F5:F26" ca="1" si="2">IF(E5&gt;TODAY(),"In curs de achitare","Achitat")</f>
        <v>Achitat</v>
      </c>
      <c r="G5" s="128">
        <f t="shared" si="0"/>
        <v>14</v>
      </c>
      <c r="H5" s="137">
        <v>2.8000000000000001E-2</v>
      </c>
      <c r="I5" s="40">
        <f t="shared" si="1"/>
        <v>208800</v>
      </c>
      <c r="J5" s="171">
        <f t="shared" ref="J5:J26" si="3">I5/I$28</f>
        <v>0.10408643960070288</v>
      </c>
      <c r="K5" s="128">
        <v>0</v>
      </c>
      <c r="L5" s="40">
        <f t="shared" ref="L5:L26" si="4">-PV(H5,G5,K5,I5)</f>
        <v>141849.19944227871</v>
      </c>
      <c r="M5" s="40">
        <f t="shared" ref="M5:M26" si="5">-FV(H5,G5,K5,I5)</f>
        <v>307350.62426447228</v>
      </c>
      <c r="N5" s="40">
        <f t="shared" ref="N5:N26" si="6">PMT(H5/12,G5*12,-I5)</f>
        <v>1503.7627708027931</v>
      </c>
      <c r="O5" s="40">
        <f t="shared" ref="O5:O26" si="7">-PV(H5,G5,N5,I5)</f>
        <v>159069.73196727602</v>
      </c>
      <c r="P5" s="40">
        <f t="shared" ref="P5:P26" si="8">-FV(H5,G5,N5,I5)</f>
        <v>332699.00272100756</v>
      </c>
    </row>
    <row r="6" spans="1:16" ht="15" thickBot="1" x14ac:dyDescent="0.35">
      <c r="A6" s="36" t="s">
        <v>52</v>
      </c>
      <c r="B6" s="37" t="s">
        <v>39</v>
      </c>
      <c r="C6" s="38">
        <v>15000</v>
      </c>
      <c r="D6" s="39">
        <v>43203</v>
      </c>
      <c r="E6" s="39">
        <v>43966</v>
      </c>
      <c r="F6" s="37" t="str">
        <f t="shared" ca="1" si="2"/>
        <v>Achitat</v>
      </c>
      <c r="G6" s="128">
        <f t="shared" si="0"/>
        <v>2</v>
      </c>
      <c r="H6" s="137">
        <v>2.1999999999999999E-2</v>
      </c>
      <c r="I6" s="40">
        <f t="shared" si="1"/>
        <v>15660</v>
      </c>
      <c r="J6" s="171">
        <f t="shared" si="3"/>
        <v>7.8064829700527161E-3</v>
      </c>
      <c r="K6" s="128">
        <v>0</v>
      </c>
      <c r="L6" s="40">
        <f t="shared" si="4"/>
        <v>14993.049199413299</v>
      </c>
      <c r="M6" s="40">
        <f t="shared" si="5"/>
        <v>16356.61944</v>
      </c>
      <c r="N6" s="40">
        <f t="shared" si="6"/>
        <v>667.55811263996372</v>
      </c>
      <c r="O6" s="40">
        <f t="shared" si="7"/>
        <v>16285.364355756532</v>
      </c>
      <c r="P6" s="40">
        <f t="shared" si="8"/>
        <v>17706.421943758007</v>
      </c>
    </row>
    <row r="7" spans="1:16" ht="15" thickBot="1" x14ac:dyDescent="0.35">
      <c r="A7" s="36" t="s">
        <v>29</v>
      </c>
      <c r="B7" s="37" t="s">
        <v>40</v>
      </c>
      <c r="C7" s="38">
        <v>35000</v>
      </c>
      <c r="D7" s="39">
        <v>41461</v>
      </c>
      <c r="E7" s="39">
        <v>43711</v>
      </c>
      <c r="F7" s="37" t="str">
        <f t="shared" ca="1" si="2"/>
        <v>Achitat</v>
      </c>
      <c r="G7" s="128">
        <f t="shared" si="0"/>
        <v>6</v>
      </c>
      <c r="H7" s="137">
        <v>6.5000000000000002E-2</v>
      </c>
      <c r="I7" s="40">
        <f t="shared" si="1"/>
        <v>48650.000000000007</v>
      </c>
      <c r="J7" s="171">
        <f t="shared" si="3"/>
        <v>2.4251941027654194E-2</v>
      </c>
      <c r="K7" s="128">
        <v>0</v>
      </c>
      <c r="L7" s="40">
        <f t="shared" si="4"/>
        <v>33341.504879572269</v>
      </c>
      <c r="M7" s="40">
        <f t="shared" si="5"/>
        <v>70987.272726556199</v>
      </c>
      <c r="N7" s="40">
        <f t="shared" si="6"/>
        <v>817.80307619700704</v>
      </c>
      <c r="O7" s="40">
        <f t="shared" si="7"/>
        <v>37300.500658347722</v>
      </c>
      <c r="P7" s="40">
        <f t="shared" si="8"/>
        <v>76764.010919181441</v>
      </c>
    </row>
    <row r="8" spans="1:16" ht="15" thickBot="1" x14ac:dyDescent="0.35">
      <c r="A8" s="36" t="s">
        <v>30</v>
      </c>
      <c r="B8" s="37" t="s">
        <v>40</v>
      </c>
      <c r="C8" s="38">
        <v>50000</v>
      </c>
      <c r="D8" s="39">
        <v>42370</v>
      </c>
      <c r="E8" s="39">
        <v>43868</v>
      </c>
      <c r="F8" s="37" t="str">
        <f t="shared" ca="1" si="2"/>
        <v>Achitat</v>
      </c>
      <c r="G8" s="128">
        <f t="shared" si="0"/>
        <v>4</v>
      </c>
      <c r="H8" s="137">
        <v>5.2999999999999999E-2</v>
      </c>
      <c r="I8" s="40">
        <f t="shared" si="1"/>
        <v>60600</v>
      </c>
      <c r="J8" s="171">
        <f t="shared" si="3"/>
        <v>3.0208995401353422E-2</v>
      </c>
      <c r="K8" s="128">
        <v>0</v>
      </c>
      <c r="L8" s="40">
        <f t="shared" si="4"/>
        <v>49290.036462321979</v>
      </c>
      <c r="M8" s="40">
        <f t="shared" si="5"/>
        <v>74505.118347948592</v>
      </c>
      <c r="N8" s="40">
        <f t="shared" si="6"/>
        <v>1403.8255301106135</v>
      </c>
      <c r="O8" s="40">
        <f t="shared" si="7"/>
        <v>54233.437533002776</v>
      </c>
      <c r="P8" s="40">
        <f t="shared" si="8"/>
        <v>80582.819367955992</v>
      </c>
    </row>
    <row r="9" spans="1:16" ht="15" thickBot="1" x14ac:dyDescent="0.35">
      <c r="A9" s="36" t="s">
        <v>52</v>
      </c>
      <c r="B9" s="37" t="s">
        <v>37</v>
      </c>
      <c r="C9" s="38">
        <v>250000</v>
      </c>
      <c r="D9" s="39">
        <v>43898</v>
      </c>
      <c r="E9" s="39">
        <v>51419</v>
      </c>
      <c r="F9" s="37" t="str">
        <f t="shared" ca="1" si="2"/>
        <v>In curs de achitare</v>
      </c>
      <c r="G9" s="128">
        <f t="shared" si="0"/>
        <v>20</v>
      </c>
      <c r="H9" s="137">
        <v>2.1000000000000001E-2</v>
      </c>
      <c r="I9" s="40">
        <f t="shared" si="1"/>
        <v>355000</v>
      </c>
      <c r="J9" s="171">
        <f t="shared" si="3"/>
        <v>0.1769668872521529</v>
      </c>
      <c r="K9" s="128">
        <v>0</v>
      </c>
      <c r="L9" s="40">
        <f t="shared" si="4"/>
        <v>234268.29205661028</v>
      </c>
      <c r="M9" s="40">
        <f t="shared" si="5"/>
        <v>537951.58915294602</v>
      </c>
      <c r="N9" s="40">
        <f t="shared" si="6"/>
        <v>1812.7468137100875</v>
      </c>
      <c r="O9" s="40">
        <f t="shared" si="7"/>
        <v>263625.2362401323</v>
      </c>
      <c r="P9" s="40">
        <f t="shared" si="8"/>
        <v>582437.82795914321</v>
      </c>
    </row>
    <row r="10" spans="1:16" ht="15" thickBot="1" x14ac:dyDescent="0.35">
      <c r="A10" s="36" t="s">
        <v>31</v>
      </c>
      <c r="B10" s="37" t="s">
        <v>38</v>
      </c>
      <c r="C10" s="38">
        <v>80000</v>
      </c>
      <c r="D10" s="39">
        <v>36558</v>
      </c>
      <c r="E10" s="39">
        <v>43628</v>
      </c>
      <c r="F10" s="37" t="str">
        <f t="shared" ca="1" si="2"/>
        <v>Achitat</v>
      </c>
      <c r="G10" s="128">
        <f t="shared" si="0"/>
        <v>19</v>
      </c>
      <c r="H10" s="137">
        <v>2.9000000000000001E-2</v>
      </c>
      <c r="I10" s="40">
        <f t="shared" si="1"/>
        <v>124080.00000000001</v>
      </c>
      <c r="J10" s="171">
        <f t="shared" si="3"/>
        <v>6.1853665831682066E-2</v>
      </c>
      <c r="K10" s="128">
        <v>0</v>
      </c>
      <c r="L10" s="40">
        <f t="shared" si="4"/>
        <v>72079.151290521331</v>
      </c>
      <c r="M10" s="40">
        <f t="shared" si="5"/>
        <v>213596.388475021</v>
      </c>
      <c r="N10" s="40">
        <f t="shared" si="6"/>
        <v>708.4808903481736</v>
      </c>
      <c r="O10" s="40">
        <f t="shared" si="7"/>
        <v>82317.709171018942</v>
      </c>
      <c r="P10" s="40">
        <f t="shared" si="8"/>
        <v>231221.4608998014</v>
      </c>
    </row>
    <row r="11" spans="1:16" ht="15" thickBot="1" x14ac:dyDescent="0.35">
      <c r="A11" s="36" t="s">
        <v>32</v>
      </c>
      <c r="B11" s="37" t="s">
        <v>39</v>
      </c>
      <c r="C11" s="38">
        <v>10000</v>
      </c>
      <c r="D11" s="39">
        <v>43819</v>
      </c>
      <c r="E11" s="39">
        <v>44185</v>
      </c>
      <c r="F11" s="37" t="str">
        <f t="shared" ca="1" si="2"/>
        <v>Achitat</v>
      </c>
      <c r="G11" s="128">
        <f t="shared" si="0"/>
        <v>1</v>
      </c>
      <c r="H11" s="137">
        <v>0.03</v>
      </c>
      <c r="I11" s="40">
        <f t="shared" si="1"/>
        <v>10300</v>
      </c>
      <c r="J11" s="171">
        <f t="shared" si="3"/>
        <v>5.1345322216821828E-3</v>
      </c>
      <c r="K11" s="128">
        <v>0</v>
      </c>
      <c r="L11" s="40">
        <f t="shared" si="4"/>
        <v>10000</v>
      </c>
      <c r="M11" s="40">
        <f t="shared" si="5"/>
        <v>10609</v>
      </c>
      <c r="N11" s="40">
        <f t="shared" si="6"/>
        <v>872.34509721243614</v>
      </c>
      <c r="O11" s="40">
        <f t="shared" si="7"/>
        <v>10846.93698758489</v>
      </c>
      <c r="P11" s="40">
        <f t="shared" si="8"/>
        <v>11481.345097212437</v>
      </c>
    </row>
    <row r="12" spans="1:16" ht="15" thickBot="1" x14ac:dyDescent="0.35">
      <c r="A12" s="36" t="s">
        <v>33</v>
      </c>
      <c r="B12" s="37" t="s">
        <v>40</v>
      </c>
      <c r="C12" s="38">
        <v>20000</v>
      </c>
      <c r="D12" s="39">
        <v>42785</v>
      </c>
      <c r="E12" s="39">
        <v>45736</v>
      </c>
      <c r="F12" s="37" t="str">
        <f t="shared" ca="1" si="2"/>
        <v>Achitat</v>
      </c>
      <c r="G12" s="128">
        <f t="shared" si="0"/>
        <v>8</v>
      </c>
      <c r="H12" s="137">
        <v>0.03</v>
      </c>
      <c r="I12" s="40">
        <f t="shared" si="1"/>
        <v>24800</v>
      </c>
      <c r="J12" s="171">
        <f t="shared" si="3"/>
        <v>1.2362757193953217E-2</v>
      </c>
      <c r="K12" s="128">
        <v>0</v>
      </c>
      <c r="L12" s="40">
        <f t="shared" si="4"/>
        <v>19577.349010985607</v>
      </c>
      <c r="M12" s="40">
        <f t="shared" si="5"/>
        <v>31415.898018412874</v>
      </c>
      <c r="N12" s="40">
        <f t="shared" si="6"/>
        <v>290.89338386888329</v>
      </c>
      <c r="O12" s="40">
        <f t="shared" si="7"/>
        <v>21619.331025717551</v>
      </c>
      <c r="P12" s="40">
        <f t="shared" si="8"/>
        <v>34002.61974140691</v>
      </c>
    </row>
    <row r="13" spans="1:16" ht="15" thickBot="1" x14ac:dyDescent="0.35">
      <c r="A13" s="36" t="s">
        <v>34</v>
      </c>
      <c r="B13" s="37" t="s">
        <v>40</v>
      </c>
      <c r="C13" s="38">
        <v>45000</v>
      </c>
      <c r="D13" s="39">
        <v>42262</v>
      </c>
      <c r="E13" s="39">
        <v>44088</v>
      </c>
      <c r="F13" s="37" t="str">
        <f t="shared" ca="1" si="2"/>
        <v>Achitat</v>
      </c>
      <c r="G13" s="128">
        <f t="shared" si="0"/>
        <v>4</v>
      </c>
      <c r="H13" s="137">
        <v>2.8000000000000001E-2</v>
      </c>
      <c r="I13" s="40">
        <f t="shared" si="1"/>
        <v>50040.000000000007</v>
      </c>
      <c r="J13" s="171">
        <f t="shared" si="3"/>
        <v>2.4944853628444313E-2</v>
      </c>
      <c r="K13" s="128">
        <v>0</v>
      </c>
      <c r="L13" s="40">
        <f t="shared" si="4"/>
        <v>44806.89426687987</v>
      </c>
      <c r="M13" s="40">
        <f t="shared" si="5"/>
        <v>55884.292829706246</v>
      </c>
      <c r="N13" s="40">
        <f t="shared" si="6"/>
        <v>1103.1840411828705</v>
      </c>
      <c r="O13" s="40">
        <f t="shared" si="7"/>
        <v>48927.225666474995</v>
      </c>
      <c r="P13" s="40">
        <f t="shared" si="8"/>
        <v>60485.847715605669</v>
      </c>
    </row>
    <row r="14" spans="1:16" ht="15" thickBot="1" x14ac:dyDescent="0.35">
      <c r="A14" s="36" t="s">
        <v>31</v>
      </c>
      <c r="B14" s="37" t="s">
        <v>37</v>
      </c>
      <c r="C14" s="38">
        <v>90000</v>
      </c>
      <c r="D14" s="39">
        <v>42796</v>
      </c>
      <c r="E14" s="39">
        <v>51323</v>
      </c>
      <c r="F14" s="37" t="str">
        <f t="shared" ca="1" si="2"/>
        <v>In curs de achitare</v>
      </c>
      <c r="G14" s="128">
        <f t="shared" si="0"/>
        <v>23</v>
      </c>
      <c r="H14" s="137">
        <v>2.4E-2</v>
      </c>
      <c r="I14" s="40">
        <f t="shared" si="1"/>
        <v>139680</v>
      </c>
      <c r="J14" s="171">
        <f t="shared" si="3"/>
        <v>6.9630238905297792E-2</v>
      </c>
      <c r="K14" s="128">
        <v>0</v>
      </c>
      <c r="L14" s="40">
        <f t="shared" si="4"/>
        <v>80953.424238752981</v>
      </c>
      <c r="M14" s="40">
        <f t="shared" si="5"/>
        <v>241008.98242992649</v>
      </c>
      <c r="N14" s="40">
        <f t="shared" si="6"/>
        <v>659.04600408109502</v>
      </c>
      <c r="O14" s="40">
        <f t="shared" si="7"/>
        <v>92498.716779087888</v>
      </c>
      <c r="P14" s="40">
        <f t="shared" si="8"/>
        <v>260929.65258314769</v>
      </c>
    </row>
    <row r="15" spans="1:16" ht="15" thickBot="1" x14ac:dyDescent="0.35">
      <c r="A15" s="36" t="s">
        <v>30</v>
      </c>
      <c r="B15" s="37" t="s">
        <v>39</v>
      </c>
      <c r="C15" s="38">
        <v>5000</v>
      </c>
      <c r="D15" s="39">
        <v>43942</v>
      </c>
      <c r="E15" s="39">
        <v>44490</v>
      </c>
      <c r="F15" s="37" t="str">
        <f t="shared" ca="1" si="2"/>
        <v>Achitat</v>
      </c>
      <c r="G15" s="128">
        <f t="shared" si="0"/>
        <v>1</v>
      </c>
      <c r="H15" s="137">
        <v>3.7999999999999999E-2</v>
      </c>
      <c r="I15" s="40">
        <f t="shared" si="1"/>
        <v>5190</v>
      </c>
      <c r="J15" s="171">
        <f t="shared" si="3"/>
        <v>2.5872060417990801E-3</v>
      </c>
      <c r="K15" s="128">
        <v>0</v>
      </c>
      <c r="L15" s="40">
        <f t="shared" si="4"/>
        <v>5000</v>
      </c>
      <c r="M15" s="40">
        <f t="shared" si="5"/>
        <v>5387.22</v>
      </c>
      <c r="N15" s="40">
        <f t="shared" si="6"/>
        <v>441.45389151033612</v>
      </c>
      <c r="O15" s="40">
        <f t="shared" si="7"/>
        <v>5425.2927663876071</v>
      </c>
      <c r="P15" s="40">
        <f t="shared" si="8"/>
        <v>5828.6738915103369</v>
      </c>
    </row>
    <row r="16" spans="1:16" ht="15" thickBot="1" x14ac:dyDescent="0.35">
      <c r="A16" s="36" t="s">
        <v>35</v>
      </c>
      <c r="B16" s="37" t="s">
        <v>40</v>
      </c>
      <c r="C16" s="38">
        <v>75000</v>
      </c>
      <c r="D16" s="39">
        <v>43352</v>
      </c>
      <c r="E16" s="39">
        <v>45542</v>
      </c>
      <c r="F16" s="37" t="str">
        <f t="shared" ca="1" si="2"/>
        <v>Achitat</v>
      </c>
      <c r="G16" s="128">
        <f t="shared" si="0"/>
        <v>5</v>
      </c>
      <c r="H16" s="137">
        <v>4.2000000000000003E-2</v>
      </c>
      <c r="I16" s="40">
        <f t="shared" si="1"/>
        <v>90750</v>
      </c>
      <c r="J16" s="171">
        <f t="shared" si="3"/>
        <v>4.5238718360937673E-2</v>
      </c>
      <c r="K16" s="128">
        <v>0</v>
      </c>
      <c r="L16" s="40">
        <f t="shared" si="4"/>
        <v>73876.793763130336</v>
      </c>
      <c r="M16" s="40">
        <f t="shared" si="5"/>
        <v>111476.98865228934</v>
      </c>
      <c r="N16" s="40">
        <f t="shared" si="6"/>
        <v>1679.5025067150857</v>
      </c>
      <c r="O16" s="40">
        <f t="shared" si="7"/>
        <v>81311.81728960108</v>
      </c>
      <c r="P16" s="40">
        <f t="shared" si="8"/>
        <v>120610.1460439134</v>
      </c>
    </row>
    <row r="17" spans="1:16" ht="15" thickBot="1" x14ac:dyDescent="0.35">
      <c r="A17" s="36" t="s">
        <v>30</v>
      </c>
      <c r="B17" s="37" t="s">
        <v>39</v>
      </c>
      <c r="C17" s="38">
        <v>15000</v>
      </c>
      <c r="D17" s="39">
        <v>43297</v>
      </c>
      <c r="E17" s="39">
        <v>43693</v>
      </c>
      <c r="F17" s="37" t="str">
        <f t="shared" ca="1" si="2"/>
        <v>Achitat</v>
      </c>
      <c r="G17" s="128">
        <f t="shared" si="0"/>
        <v>1</v>
      </c>
      <c r="H17" s="137">
        <v>3.9E-2</v>
      </c>
      <c r="I17" s="40">
        <f t="shared" si="1"/>
        <v>15584.999999999998</v>
      </c>
      <c r="J17" s="171">
        <f t="shared" si="3"/>
        <v>7.7690955995064854E-3</v>
      </c>
      <c r="K17" s="128">
        <v>0</v>
      </c>
      <c r="L17" s="40">
        <f t="shared" si="4"/>
        <v>15000</v>
      </c>
      <c r="M17" s="40">
        <f t="shared" si="5"/>
        <v>16192.814999999997</v>
      </c>
      <c r="N17" s="40">
        <f t="shared" si="6"/>
        <v>1326.3492979194152</v>
      </c>
      <c r="O17" s="40">
        <f t="shared" si="7"/>
        <v>16276.563328122631</v>
      </c>
      <c r="P17" s="40">
        <f t="shared" si="8"/>
        <v>17519.164297919408</v>
      </c>
    </row>
    <row r="18" spans="1:16" ht="15" thickBot="1" x14ac:dyDescent="0.35">
      <c r="A18" s="36" t="s">
        <v>53</v>
      </c>
      <c r="B18" s="37" t="s">
        <v>39</v>
      </c>
      <c r="C18" s="38">
        <v>12000</v>
      </c>
      <c r="D18" s="39">
        <v>44124</v>
      </c>
      <c r="E18" s="39">
        <v>44489</v>
      </c>
      <c r="F18" s="37" t="str">
        <f t="shared" ca="1" si="2"/>
        <v>Achitat</v>
      </c>
      <c r="G18" s="128">
        <f t="shared" si="0"/>
        <v>1</v>
      </c>
      <c r="H18" s="137">
        <v>4.4999999999999998E-2</v>
      </c>
      <c r="I18" s="40">
        <f t="shared" si="1"/>
        <v>12540</v>
      </c>
      <c r="J18" s="171">
        <f t="shared" si="3"/>
        <v>6.2511683553295692E-3</v>
      </c>
      <c r="K18" s="128">
        <v>0</v>
      </c>
      <c r="L18" s="40">
        <f t="shared" si="4"/>
        <v>12000</v>
      </c>
      <c r="M18" s="40">
        <f t="shared" si="5"/>
        <v>13104.3</v>
      </c>
      <c r="N18" s="40">
        <f t="shared" si="6"/>
        <v>1070.6466606931056</v>
      </c>
      <c r="O18" s="40">
        <f t="shared" si="7"/>
        <v>13024.542259036465</v>
      </c>
      <c r="P18" s="40">
        <f t="shared" si="8"/>
        <v>14174.946660693104</v>
      </c>
    </row>
    <row r="19" spans="1:16" ht="15" thickBot="1" x14ac:dyDescent="0.35">
      <c r="A19" s="36" t="s">
        <v>36</v>
      </c>
      <c r="B19" s="37" t="s">
        <v>40</v>
      </c>
      <c r="C19" s="38">
        <v>20000</v>
      </c>
      <c r="D19" s="39">
        <v>42737</v>
      </c>
      <c r="E19" s="39">
        <v>44257</v>
      </c>
      <c r="F19" s="37" t="str">
        <f t="shared" ca="1" si="2"/>
        <v>Achitat</v>
      </c>
      <c r="G19" s="128">
        <f t="shared" si="0"/>
        <v>4</v>
      </c>
      <c r="H19" s="137">
        <v>7.1999999999999995E-2</v>
      </c>
      <c r="I19" s="40">
        <f t="shared" si="1"/>
        <v>25760</v>
      </c>
      <c r="J19" s="171">
        <f t="shared" si="3"/>
        <v>1.2841315536944953E-2</v>
      </c>
      <c r="K19" s="128">
        <v>0</v>
      </c>
      <c r="L19" s="40">
        <f t="shared" si="4"/>
        <v>19505.932511149123</v>
      </c>
      <c r="M19" s="40">
        <f t="shared" si="5"/>
        <v>34019.270784450571</v>
      </c>
      <c r="N19" s="40">
        <f t="shared" si="6"/>
        <v>619.24834532884472</v>
      </c>
      <c r="O19" s="40">
        <f t="shared" si="7"/>
        <v>21594.021788261482</v>
      </c>
      <c r="P19" s="40">
        <f t="shared" si="8"/>
        <v>36776.851317843153</v>
      </c>
    </row>
    <row r="20" spans="1:16" ht="15" thickBot="1" x14ac:dyDescent="0.35">
      <c r="A20" s="36" t="s">
        <v>30</v>
      </c>
      <c r="B20" s="37" t="s">
        <v>37</v>
      </c>
      <c r="C20" s="38">
        <v>120000</v>
      </c>
      <c r="D20" s="39">
        <v>39884</v>
      </c>
      <c r="E20" s="39">
        <v>50872</v>
      </c>
      <c r="F20" s="37" t="str">
        <f t="shared" ca="1" si="2"/>
        <v>In curs de achitare</v>
      </c>
      <c r="G20" s="128">
        <f t="shared" si="0"/>
        <v>30</v>
      </c>
      <c r="H20" s="137">
        <v>1.9E-2</v>
      </c>
      <c r="I20" s="40">
        <f t="shared" si="1"/>
        <v>188399.99999999997</v>
      </c>
      <c r="J20" s="171">
        <f t="shared" si="3"/>
        <v>9.3917074812128451E-2</v>
      </c>
      <c r="K20" s="128">
        <v>0</v>
      </c>
      <c r="L20" s="40">
        <f t="shared" si="4"/>
        <v>107116.25445847292</v>
      </c>
      <c r="M20" s="40">
        <f t="shared" si="5"/>
        <v>331364.83514517028</v>
      </c>
      <c r="N20" s="40">
        <f t="shared" si="6"/>
        <v>686.97961598446273</v>
      </c>
      <c r="O20" s="40">
        <f t="shared" si="7"/>
        <v>122715.8399702332</v>
      </c>
      <c r="P20" s="40">
        <f t="shared" si="8"/>
        <v>358801.95871967892</v>
      </c>
    </row>
    <row r="21" spans="1:16" ht="15" thickBot="1" x14ac:dyDescent="0.35">
      <c r="A21" s="36" t="s">
        <v>32</v>
      </c>
      <c r="B21" s="37" t="s">
        <v>38</v>
      </c>
      <c r="C21" s="38">
        <v>90000</v>
      </c>
      <c r="D21" s="39">
        <v>40395</v>
      </c>
      <c r="E21" s="39">
        <v>49432</v>
      </c>
      <c r="F21" s="37" t="str">
        <f t="shared" ca="1" si="2"/>
        <v>In curs de achitare</v>
      </c>
      <c r="G21" s="128">
        <f t="shared" si="0"/>
        <v>24</v>
      </c>
      <c r="H21" s="137">
        <v>1.4999999999999999E-2</v>
      </c>
      <c r="I21" s="40">
        <f t="shared" si="1"/>
        <v>122399.99999999999</v>
      </c>
      <c r="J21" s="171">
        <f t="shared" si="3"/>
        <v>6.1016188731446513E-2</v>
      </c>
      <c r="K21" s="128">
        <v>0</v>
      </c>
      <c r="L21" s="40">
        <f t="shared" si="4"/>
        <v>85624.175747390953</v>
      </c>
      <c r="M21" s="40">
        <f t="shared" si="5"/>
        <v>174971.14418011205</v>
      </c>
      <c r="N21" s="40">
        <f t="shared" si="6"/>
        <v>506.34283789606417</v>
      </c>
      <c r="O21" s="40">
        <f t="shared" si="7"/>
        <v>95766.428044794535</v>
      </c>
      <c r="P21" s="40">
        <f t="shared" si="8"/>
        <v>189469.52235854403</v>
      </c>
    </row>
    <row r="22" spans="1:16" ht="15" thickBot="1" x14ac:dyDescent="0.35">
      <c r="A22" s="36" t="s">
        <v>29</v>
      </c>
      <c r="B22" s="37" t="s">
        <v>40</v>
      </c>
      <c r="C22" s="38">
        <v>75000</v>
      </c>
      <c r="D22" s="39">
        <v>41162</v>
      </c>
      <c r="E22" s="39">
        <v>43089</v>
      </c>
      <c r="F22" s="37" t="str">
        <f t="shared" ca="1" si="2"/>
        <v>Achitat</v>
      </c>
      <c r="G22" s="128">
        <f t="shared" si="0"/>
        <v>5</v>
      </c>
      <c r="H22" s="137">
        <v>3.9E-2</v>
      </c>
      <c r="I22" s="40">
        <f t="shared" si="1"/>
        <v>89625</v>
      </c>
      <c r="J22" s="171">
        <f t="shared" si="3"/>
        <v>4.4677907802744235E-2</v>
      </c>
      <c r="K22" s="128">
        <v>0</v>
      </c>
      <c r="L22" s="40">
        <f t="shared" si="4"/>
        <v>74020.400551159226</v>
      </c>
      <c r="M22" s="40">
        <f t="shared" si="5"/>
        <v>108519.28070084189</v>
      </c>
      <c r="N22" s="40">
        <f t="shared" si="6"/>
        <v>1646.5393188807677</v>
      </c>
      <c r="O22" s="40">
        <f t="shared" si="7"/>
        <v>81371.138754614221</v>
      </c>
      <c r="P22" s="40">
        <f t="shared" si="8"/>
        <v>117419.66365715022</v>
      </c>
    </row>
    <row r="23" spans="1:16" ht="15" thickBot="1" x14ac:dyDescent="0.35">
      <c r="A23" s="36" t="s">
        <v>29</v>
      </c>
      <c r="B23" s="37" t="s">
        <v>39</v>
      </c>
      <c r="C23" s="38">
        <v>7500</v>
      </c>
      <c r="D23" s="39">
        <v>41011</v>
      </c>
      <c r="E23" s="39">
        <v>41376</v>
      </c>
      <c r="F23" s="37" t="str">
        <f t="shared" ca="1" si="2"/>
        <v>Achitat</v>
      </c>
      <c r="G23" s="128">
        <f t="shared" si="0"/>
        <v>1</v>
      </c>
      <c r="H23" s="137">
        <v>4.5999999999999999E-2</v>
      </c>
      <c r="I23" s="40">
        <f t="shared" si="1"/>
        <v>7845</v>
      </c>
      <c r="J23" s="171">
        <f t="shared" si="3"/>
        <v>3.9107189591356039E-3</v>
      </c>
      <c r="K23" s="128">
        <v>0</v>
      </c>
      <c r="L23" s="40">
        <f t="shared" si="4"/>
        <v>7500</v>
      </c>
      <c r="M23" s="40">
        <f t="shared" si="5"/>
        <v>8205.8700000000008</v>
      </c>
      <c r="N23" s="40">
        <f t="shared" si="6"/>
        <v>670.15352531126439</v>
      </c>
      <c r="O23" s="40">
        <f t="shared" si="7"/>
        <v>8140.6821465690873</v>
      </c>
      <c r="P23" s="40">
        <f t="shared" si="8"/>
        <v>8876.023525311266</v>
      </c>
    </row>
    <row r="24" spans="1:16" ht="15" thickBot="1" x14ac:dyDescent="0.35">
      <c r="A24" s="36" t="s">
        <v>34</v>
      </c>
      <c r="B24" s="37" t="s">
        <v>37</v>
      </c>
      <c r="C24" s="38">
        <v>80000</v>
      </c>
      <c r="D24" s="39">
        <v>36819</v>
      </c>
      <c r="E24" s="39">
        <v>45702</v>
      </c>
      <c r="F24" s="37" t="str">
        <f t="shared" ca="1" si="2"/>
        <v>Achitat</v>
      </c>
      <c r="G24" s="128">
        <f t="shared" si="0"/>
        <v>24</v>
      </c>
      <c r="H24" s="137">
        <v>1.2E-2</v>
      </c>
      <c r="I24" s="40">
        <f t="shared" si="1"/>
        <v>103040</v>
      </c>
      <c r="J24" s="171">
        <f t="shared" si="3"/>
        <v>5.1365262147779811E-2</v>
      </c>
      <c r="K24" s="128">
        <v>0</v>
      </c>
      <c r="L24" s="40">
        <f t="shared" si="4"/>
        <v>77387.986981267954</v>
      </c>
      <c r="M24" s="40">
        <f t="shared" si="5"/>
        <v>137194.95769504824</v>
      </c>
      <c r="N24" s="40">
        <f t="shared" si="6"/>
        <v>411.94495443301599</v>
      </c>
      <c r="O24" s="40">
        <f t="shared" si="7"/>
        <v>85934.196652363884</v>
      </c>
      <c r="P24" s="40">
        <f t="shared" si="8"/>
        <v>148574.00344697971</v>
      </c>
    </row>
    <row r="25" spans="1:16" ht="15" thickBot="1" x14ac:dyDescent="0.35">
      <c r="A25" s="36" t="s">
        <v>33</v>
      </c>
      <c r="B25" s="37" t="s">
        <v>39</v>
      </c>
      <c r="C25" s="38">
        <v>6500</v>
      </c>
      <c r="D25" s="39">
        <v>43875</v>
      </c>
      <c r="E25" s="39">
        <v>44483</v>
      </c>
      <c r="F25" s="37" t="str">
        <f t="shared" ca="1" si="2"/>
        <v>Achitat</v>
      </c>
      <c r="G25" s="128">
        <f>DATEDIF(D25,E25,"y")</f>
        <v>1</v>
      </c>
      <c r="H25" s="137">
        <v>0.04</v>
      </c>
      <c r="I25" s="40">
        <f t="shared" si="1"/>
        <v>6760</v>
      </c>
      <c r="J25" s="171">
        <f t="shared" si="3"/>
        <v>3.369848331900151E-3</v>
      </c>
      <c r="K25" s="128">
        <v>0</v>
      </c>
      <c r="L25" s="40">
        <f t="shared" si="4"/>
        <v>6500</v>
      </c>
      <c r="M25" s="40">
        <f t="shared" si="5"/>
        <v>7030.4000000000005</v>
      </c>
      <c r="N25" s="40">
        <f t="shared" si="6"/>
        <v>575.61335236197158</v>
      </c>
      <c r="O25" s="40">
        <f t="shared" si="7"/>
        <v>7053.4743772711263</v>
      </c>
      <c r="P25" s="40">
        <f t="shared" si="8"/>
        <v>7606.0133523619725</v>
      </c>
    </row>
    <row r="26" spans="1:16" ht="15" thickBot="1" x14ac:dyDescent="0.35">
      <c r="A26" s="36" t="s">
        <v>31</v>
      </c>
      <c r="B26" s="37" t="s">
        <v>39</v>
      </c>
      <c r="C26" s="38">
        <v>10000</v>
      </c>
      <c r="D26" s="39">
        <v>42042</v>
      </c>
      <c r="E26" s="39">
        <v>42407</v>
      </c>
      <c r="F26" s="37" t="str">
        <f t="shared" ca="1" si="2"/>
        <v>Achitat</v>
      </c>
      <c r="G26" s="128">
        <f t="shared" si="0"/>
        <v>1</v>
      </c>
      <c r="H26" s="137">
        <v>5.1999999999999998E-2</v>
      </c>
      <c r="I26" s="40">
        <f t="shared" si="1"/>
        <v>10520</v>
      </c>
      <c r="J26" s="171">
        <f t="shared" si="3"/>
        <v>5.2442018419511221E-3</v>
      </c>
      <c r="K26" s="128">
        <v>0</v>
      </c>
      <c r="L26" s="40">
        <f t="shared" si="4"/>
        <v>10000</v>
      </c>
      <c r="M26" s="40">
        <f t="shared" si="5"/>
        <v>11067.04</v>
      </c>
      <c r="N26" s="40">
        <f t="shared" si="6"/>
        <v>901.55518218971383</v>
      </c>
      <c r="O26" s="40">
        <f t="shared" si="7"/>
        <v>10856.991618051059</v>
      </c>
      <c r="P26" s="40">
        <f t="shared" si="8"/>
        <v>11968.595182189716</v>
      </c>
    </row>
    <row r="27" spans="1:16" ht="15" thickBot="1" x14ac:dyDescent="0.35"/>
    <row r="28" spans="1:16" ht="37.799999999999997" customHeight="1" thickTop="1" thickBot="1" x14ac:dyDescent="0.35">
      <c r="H28" s="135" t="s">
        <v>189</v>
      </c>
      <c r="I28" s="136">
        <f>SUM(ValoareFinala)</f>
        <v>2006025</v>
      </c>
    </row>
    <row r="29" spans="1:16" ht="15" thickBot="1" x14ac:dyDescent="0.35">
      <c r="B29" s="246" t="s">
        <v>47</v>
      </c>
      <c r="C29" s="247"/>
      <c r="D29" s="247"/>
      <c r="E29" s="248"/>
      <c r="F29" s="41">
        <f>COUNTIF(B4:B26,"Prima casa")</f>
        <v>5</v>
      </c>
    </row>
    <row r="30" spans="1:16" ht="15" thickBot="1" x14ac:dyDescent="0.35">
      <c r="B30" s="233" t="s">
        <v>46</v>
      </c>
      <c r="C30" s="234"/>
      <c r="D30" s="234"/>
      <c r="E30" s="235"/>
      <c r="F30" s="42">
        <f>SUMIF(B4:B26,"Prima casa",C4:C26)</f>
        <v>740000</v>
      </c>
      <c r="M30" s="172"/>
    </row>
    <row r="31" spans="1:16" ht="15" thickBot="1" x14ac:dyDescent="0.35">
      <c r="B31" s="233" t="s">
        <v>45</v>
      </c>
      <c r="C31" s="234"/>
      <c r="D31" s="234"/>
      <c r="E31" s="235"/>
      <c r="F31" s="42">
        <f>SUMIF(B4:B26,"Prima casa",I4:I26)</f>
        <v>1076120</v>
      </c>
      <c r="M31" s="172"/>
    </row>
    <row r="32" spans="1:16" ht="16.2" thickBot="1" x14ac:dyDescent="0.35">
      <c r="B32" s="233" t="s">
        <v>48</v>
      </c>
      <c r="C32" s="234"/>
      <c r="D32" s="234"/>
      <c r="E32" s="235"/>
      <c r="F32" s="43">
        <f>COUNTIFS(B4:B26,"Prima casa",A4:A26,"Denis Popa")</f>
        <v>1</v>
      </c>
      <c r="H32" s="230" t="s">
        <v>331</v>
      </c>
      <c r="I32" s="231"/>
      <c r="J32" s="232"/>
      <c r="M32" s="172"/>
    </row>
    <row r="33" spans="1:11" ht="15" thickBot="1" x14ac:dyDescent="0.35">
      <c r="B33" s="233" t="s">
        <v>49</v>
      </c>
      <c r="C33" s="234"/>
      <c r="D33" s="234"/>
      <c r="E33" s="235"/>
      <c r="F33" s="43">
        <f>COUNTIF(A4:A26,"Denis Popa")</f>
        <v>4</v>
      </c>
      <c r="H33" s="204" t="s">
        <v>334</v>
      </c>
      <c r="I33" s="205" t="s">
        <v>330</v>
      </c>
      <c r="J33" s="205" t="s">
        <v>333</v>
      </c>
    </row>
    <row r="34" spans="1:11" ht="15" thickBot="1" x14ac:dyDescent="0.35">
      <c r="B34" s="233" t="s">
        <v>50</v>
      </c>
      <c r="C34" s="234"/>
      <c r="D34" s="234"/>
      <c r="E34" s="235"/>
      <c r="F34" s="42">
        <f>SUMIFS(C4:C26,A4:A26,"Denis Popa")</f>
        <v>190000</v>
      </c>
      <c r="H34" s="204">
        <v>5</v>
      </c>
      <c r="I34" s="201">
        <v>5</v>
      </c>
      <c r="J34" s="202">
        <v>13</v>
      </c>
      <c r="K34" s="198"/>
    </row>
    <row r="35" spans="1:11" ht="15" thickBot="1" x14ac:dyDescent="0.35">
      <c r="B35" s="233" t="s">
        <v>51</v>
      </c>
      <c r="C35" s="234"/>
      <c r="D35" s="234"/>
      <c r="E35" s="235"/>
      <c r="F35" s="43">
        <f ca="1">COUNTIF(F4:F26,"Achitat")</f>
        <v>18</v>
      </c>
      <c r="H35" s="204">
        <v>10</v>
      </c>
      <c r="I35" s="201">
        <v>10</v>
      </c>
      <c r="J35" s="202">
        <v>2</v>
      </c>
    </row>
    <row r="36" spans="1:11" ht="15" thickBot="1" x14ac:dyDescent="0.35">
      <c r="B36" s="242" t="s">
        <v>217</v>
      </c>
      <c r="C36" s="243"/>
      <c r="D36" s="243"/>
      <c r="E36" s="244"/>
      <c r="F36" s="174">
        <f>-PV(H4,G4,K4,I4)</f>
        <v>185531.10467288247</v>
      </c>
      <c r="H36" s="204">
        <v>15</v>
      </c>
      <c r="I36" s="201">
        <v>15</v>
      </c>
      <c r="J36" s="202">
        <v>1</v>
      </c>
    </row>
    <row r="37" spans="1:11" ht="15" thickBot="1" x14ac:dyDescent="0.35">
      <c r="B37" s="239" t="s">
        <v>218</v>
      </c>
      <c r="C37" s="240"/>
      <c r="D37" s="240"/>
      <c r="E37" s="241"/>
      <c r="F37" s="173">
        <f>-FV(H4,G4,K4,I4)</f>
        <v>453293.26394234633</v>
      </c>
      <c r="H37" s="204">
        <v>20</v>
      </c>
      <c r="I37" s="201">
        <v>20</v>
      </c>
      <c r="J37" s="202">
        <v>2</v>
      </c>
    </row>
    <row r="38" spans="1:11" ht="15" thickBot="1" x14ac:dyDescent="0.35">
      <c r="B38" s="239" t="s">
        <v>212</v>
      </c>
      <c r="C38" s="240"/>
      <c r="D38" s="240"/>
      <c r="E38" s="241"/>
      <c r="F38" s="152">
        <f>PMT(H4/12,G4*12,-I4)</f>
        <v>1000.8486103271181</v>
      </c>
      <c r="H38" s="204">
        <v>25</v>
      </c>
      <c r="I38" s="201">
        <v>25</v>
      </c>
      <c r="J38" s="202">
        <v>3</v>
      </c>
    </row>
    <row r="39" spans="1:11" ht="15" thickBot="1" x14ac:dyDescent="0.35">
      <c r="B39" s="239" t="s">
        <v>219</v>
      </c>
      <c r="C39" s="240"/>
      <c r="D39" s="240"/>
      <c r="E39" s="241"/>
      <c r="F39" s="173">
        <f>-PV(H4,G4,N4,I4)</f>
        <v>209567.32276726287</v>
      </c>
      <c r="H39" s="204"/>
      <c r="I39" s="203" t="s">
        <v>332</v>
      </c>
      <c r="J39" s="203">
        <v>2</v>
      </c>
    </row>
    <row r="40" spans="1:11" ht="15" thickBot="1" x14ac:dyDescent="0.35">
      <c r="B40" s="239" t="s">
        <v>220</v>
      </c>
      <c r="C40" s="240"/>
      <c r="D40" s="240"/>
      <c r="E40" s="241"/>
      <c r="F40" s="173">
        <f>-FV(H4,G4,N4,I4)</f>
        <v>490863.80102107656</v>
      </c>
      <c r="H40" s="197"/>
      <c r="I40" s="197"/>
      <c r="J40" s="199"/>
    </row>
    <row r="41" spans="1:11" ht="15" thickBot="1" x14ac:dyDescent="0.35">
      <c r="B41" s="236" t="s">
        <v>222</v>
      </c>
      <c r="C41" s="237"/>
      <c r="D41" s="237"/>
      <c r="E41" s="238"/>
      <c r="F41" s="175" t="str">
        <f>IF(L4=O4,"Nu exista diferente","Exista diferente")</f>
        <v>Exista diferente</v>
      </c>
      <c r="H41" s="197"/>
      <c r="I41" s="197"/>
      <c r="J41" s="199"/>
    </row>
    <row r="42" spans="1:11" ht="15" thickBot="1" x14ac:dyDescent="0.35">
      <c r="B42" s="236" t="s">
        <v>223</v>
      </c>
      <c r="C42" s="237"/>
      <c r="D42" s="237"/>
      <c r="E42" s="238"/>
      <c r="F42" s="175" t="str">
        <f>IF(M4=P4,"Nu exista diferente","Exista diferente")</f>
        <v>Exista diferente</v>
      </c>
    </row>
    <row r="43" spans="1:11" x14ac:dyDescent="0.3">
      <c r="H43" s="200"/>
    </row>
    <row r="44" spans="1:11" x14ac:dyDescent="0.3">
      <c r="H44" s="200"/>
    </row>
    <row r="45" spans="1:11" x14ac:dyDescent="0.3">
      <c r="H45" s="200"/>
    </row>
    <row r="46" spans="1:11" x14ac:dyDescent="0.3">
      <c r="H46" s="200"/>
    </row>
    <row r="47" spans="1:11" x14ac:dyDescent="0.3">
      <c r="H47" s="200"/>
    </row>
    <row r="48" spans="1:11" x14ac:dyDescent="0.3">
      <c r="A48" s="200"/>
    </row>
    <row r="49" spans="1:1" x14ac:dyDescent="0.3">
      <c r="A49" s="200"/>
    </row>
    <row r="50" spans="1:1" x14ac:dyDescent="0.3">
      <c r="A50" s="200"/>
    </row>
    <row r="51" spans="1:1" x14ac:dyDescent="0.3">
      <c r="A51" s="200"/>
    </row>
    <row r="52" spans="1:1" x14ac:dyDescent="0.3">
      <c r="A52" s="200"/>
    </row>
  </sheetData>
  <sheetProtection sheet="1" objects="1" scenarios="1"/>
  <autoFilter ref="A3:B26"/>
  <sortState ref="A48:A52">
    <sortCondition ref="A48"/>
  </sortState>
  <mergeCells count="16">
    <mergeCell ref="E1:G1"/>
    <mergeCell ref="B29:E29"/>
    <mergeCell ref="B30:E30"/>
    <mergeCell ref="B31:E31"/>
    <mergeCell ref="B32:E32"/>
    <mergeCell ref="H32:J32"/>
    <mergeCell ref="B33:E33"/>
    <mergeCell ref="B34:E34"/>
    <mergeCell ref="B41:E41"/>
    <mergeCell ref="B42:E42"/>
    <mergeCell ref="B38:E38"/>
    <mergeCell ref="B39:E39"/>
    <mergeCell ref="B40:E40"/>
    <mergeCell ref="B35:E35"/>
    <mergeCell ref="B36:E36"/>
    <mergeCell ref="B37:E37"/>
  </mergeCells>
  <conditionalFormatting sqref="F4:F26">
    <cfRule type="containsText" dxfId="9" priority="17" operator="containsText" text="Achitat">
      <formula>NOT(ISERROR(SEARCH("Achitat",F4)))</formula>
    </cfRule>
  </conditionalFormatting>
  <conditionalFormatting sqref="C4:C2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{B8664808-3DA2-4C7C-9E1A-37CC24F94A6F}</x14:id>
        </ext>
      </extLst>
    </cfRule>
  </conditionalFormatting>
  <conditionalFormatting sqref="I4:I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{435FEB87-FEF3-45A4-B381-BAC3B33962B7}</x14:id>
        </ext>
      </extLst>
    </cfRule>
  </conditionalFormatting>
  <conditionalFormatting sqref="L27">
    <cfRule type="colorScale" priority="8">
      <colorScale>
        <cfvo type="min"/>
        <cfvo type="max"/>
        <color rgb="FF63BE7B"/>
        <color rgb="FFFFEF9C"/>
      </colorScale>
    </cfRule>
  </conditionalFormatting>
  <conditionalFormatting sqref="M4:M2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{BCF892BE-F559-456C-AEE4-029FDDC84CE5}</x14:id>
        </ext>
      </extLst>
    </cfRule>
  </conditionalFormatting>
  <conditionalFormatting sqref="L4:L2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{C6C7E4BC-EBB3-43CC-9C73-FDD024D429A1}</x14:id>
        </ext>
      </extLst>
    </cfRule>
  </conditionalFormatting>
  <conditionalFormatting sqref="N4:N2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{582E7A50-7653-4F9F-A3EF-88DB9BC86716}</x14:id>
        </ext>
      </extLst>
    </cfRule>
  </conditionalFormatting>
  <hyperlinks>
    <hyperlink ref="K1" location="Acasa!A1" display="Home"/>
  </hyperlink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664808-3DA2-4C7C-9E1A-37CC24F94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C4:C26</xm:sqref>
        </x14:conditionalFormatting>
        <x14:conditionalFormatting xmlns:xm="http://schemas.microsoft.com/office/excel/2006/main">
          <x14:cfRule type="dataBar" id="{435FEB87-FEF3-45A4-B381-BAC3B3396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I4:I26</xm:sqref>
        </x14:conditionalFormatting>
        <x14:conditionalFormatting xmlns:xm="http://schemas.microsoft.com/office/excel/2006/main">
          <x14:cfRule type="dataBar" id="{BCF892BE-F559-456C-AEE4-029FDDC84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M4:M26</xm:sqref>
        </x14:conditionalFormatting>
        <x14:conditionalFormatting xmlns:xm="http://schemas.microsoft.com/office/excel/2006/main">
          <x14:cfRule type="dataBar" id="{C6C7E4BC-EBB3-43CC-9C73-FDD024D429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L4:L26</xm:sqref>
        </x14:conditionalFormatting>
        <x14:conditionalFormatting xmlns:xm="http://schemas.microsoft.com/office/excel/2006/main">
          <x14:cfRule type="dataBar" id="{582E7A50-7653-4F9F-A3EF-88DB9BC867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N4:N26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A1:U43"/>
  <sheetViews>
    <sheetView workbookViewId="0">
      <selection activeCell="U2" sqref="U2"/>
    </sheetView>
  </sheetViews>
  <sheetFormatPr defaultRowHeight="14.4" x14ac:dyDescent="0.3"/>
  <cols>
    <col min="3" max="3" width="12.77734375" customWidth="1"/>
    <col min="7" max="7" width="5.6640625" customWidth="1"/>
    <col min="8" max="8" width="8.33203125" customWidth="1"/>
    <col min="10" max="10" width="11.88671875" customWidth="1"/>
    <col min="14" max="14" width="12.5546875" customWidth="1"/>
    <col min="15" max="15" width="8.21875" customWidth="1"/>
    <col min="17" max="17" width="7" customWidth="1"/>
    <col min="18" max="18" width="11.6640625" customWidth="1"/>
    <col min="20" max="20" width="9.77734375" customWidth="1"/>
    <col min="21" max="21" width="10.6640625" customWidth="1"/>
  </cols>
  <sheetData>
    <row r="1" spans="2:21" ht="23.4" x14ac:dyDescent="0.45">
      <c r="J1" s="100" t="s">
        <v>142</v>
      </c>
      <c r="K1" s="99"/>
    </row>
    <row r="2" spans="2:21" ht="16.2" customHeight="1" thickBot="1" x14ac:dyDescent="0.35">
      <c r="K2" s="99"/>
      <c r="U2" s="101" t="s">
        <v>7</v>
      </c>
    </row>
    <row r="3" spans="2:21" ht="15" thickTop="1" x14ac:dyDescent="0.3">
      <c r="B3" s="275" t="s">
        <v>129</v>
      </c>
      <c r="C3" s="249" t="s">
        <v>134</v>
      </c>
      <c r="D3" s="77"/>
      <c r="E3" s="257" t="s">
        <v>135</v>
      </c>
      <c r="F3" s="258"/>
      <c r="G3" s="92"/>
      <c r="H3" s="288" t="s">
        <v>132</v>
      </c>
      <c r="I3" s="288"/>
      <c r="J3" s="289"/>
      <c r="K3" s="78"/>
      <c r="L3" s="294" t="s">
        <v>117</v>
      </c>
      <c r="M3" s="288"/>
      <c r="N3" s="289"/>
      <c r="O3" s="77"/>
      <c r="P3" s="294" t="s">
        <v>133</v>
      </c>
      <c r="Q3" s="288"/>
      <c r="R3" s="289"/>
      <c r="S3" s="79"/>
    </row>
    <row r="4" spans="2:21" ht="16.2" customHeight="1" x14ac:dyDescent="0.3">
      <c r="B4" s="276"/>
      <c r="C4" s="250"/>
      <c r="D4" s="80"/>
      <c r="E4" s="259"/>
      <c r="F4" s="260"/>
      <c r="G4" s="93"/>
      <c r="H4" s="290"/>
      <c r="I4" s="290"/>
      <c r="J4" s="291"/>
      <c r="K4" s="81"/>
      <c r="L4" s="295"/>
      <c r="M4" s="290"/>
      <c r="N4" s="291"/>
      <c r="O4" s="80"/>
      <c r="P4" s="295"/>
      <c r="Q4" s="290"/>
      <c r="R4" s="291"/>
      <c r="S4" s="82"/>
    </row>
    <row r="5" spans="2:21" x14ac:dyDescent="0.3">
      <c r="B5" s="276"/>
      <c r="C5" s="80"/>
      <c r="D5" s="80"/>
      <c r="E5" s="259"/>
      <c r="F5" s="260"/>
      <c r="G5" s="93"/>
      <c r="H5" s="290"/>
      <c r="I5" s="290"/>
      <c r="J5" s="291"/>
      <c r="K5" s="81"/>
      <c r="L5" s="295"/>
      <c r="M5" s="290"/>
      <c r="N5" s="291"/>
      <c r="O5" s="80"/>
      <c r="P5" s="295"/>
      <c r="Q5" s="290"/>
      <c r="R5" s="291"/>
      <c r="S5" s="82"/>
    </row>
    <row r="6" spans="2:21" ht="15" thickBot="1" x14ac:dyDescent="0.35">
      <c r="B6" s="276"/>
      <c r="C6" s="80"/>
      <c r="D6" s="80"/>
      <c r="E6" s="261"/>
      <c r="F6" s="262"/>
      <c r="G6" s="82"/>
      <c r="H6" s="290"/>
      <c r="I6" s="290"/>
      <c r="J6" s="291"/>
      <c r="K6" s="81"/>
      <c r="L6" s="295"/>
      <c r="M6" s="290"/>
      <c r="N6" s="291"/>
      <c r="O6" s="80"/>
      <c r="P6" s="295"/>
      <c r="Q6" s="290"/>
      <c r="R6" s="291"/>
      <c r="S6" s="82"/>
    </row>
    <row r="7" spans="2:21" ht="15" thickBot="1" x14ac:dyDescent="0.35">
      <c r="B7" s="276"/>
      <c r="C7" s="80"/>
      <c r="D7" s="80"/>
      <c r="E7" s="80"/>
      <c r="F7" s="80"/>
      <c r="G7" s="82"/>
      <c r="H7" s="292"/>
      <c r="I7" s="292"/>
      <c r="J7" s="293"/>
      <c r="K7" s="80"/>
      <c r="L7" s="296"/>
      <c r="M7" s="292"/>
      <c r="N7" s="293"/>
      <c r="O7" s="80"/>
      <c r="P7" s="296"/>
      <c r="Q7" s="292"/>
      <c r="R7" s="293"/>
      <c r="S7" s="82"/>
    </row>
    <row r="8" spans="2:21" ht="16.2" customHeight="1" thickBot="1" x14ac:dyDescent="0.35">
      <c r="B8" s="276"/>
      <c r="C8" s="80"/>
      <c r="D8" s="287" t="s">
        <v>141</v>
      </c>
      <c r="E8" s="80"/>
      <c r="F8" s="80"/>
      <c r="G8" s="82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2"/>
    </row>
    <row r="9" spans="2:21" ht="15" customHeight="1" thickTop="1" x14ac:dyDescent="0.3">
      <c r="B9" s="276"/>
      <c r="C9" s="80"/>
      <c r="D9" s="287"/>
      <c r="E9" s="80"/>
      <c r="F9" s="80"/>
      <c r="G9" s="278" t="s">
        <v>144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333" t="s">
        <v>137</v>
      </c>
      <c r="U9" s="334"/>
    </row>
    <row r="10" spans="2:21" ht="14.4" customHeight="1" x14ac:dyDescent="0.3">
      <c r="B10" s="276"/>
      <c r="C10" s="80"/>
      <c r="D10" s="287"/>
      <c r="E10" s="80"/>
      <c r="F10" s="80"/>
      <c r="G10" s="279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335"/>
      <c r="U10" s="336"/>
    </row>
    <row r="11" spans="2:21" ht="15" thickBot="1" x14ac:dyDescent="0.35">
      <c r="B11" s="276"/>
      <c r="C11" s="80"/>
      <c r="D11" s="287"/>
      <c r="E11" s="80"/>
      <c r="F11" s="80"/>
      <c r="G11" s="279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337"/>
      <c r="U11" s="338"/>
    </row>
    <row r="12" spans="2:21" ht="15" thickTop="1" x14ac:dyDescent="0.3">
      <c r="B12" s="276"/>
      <c r="C12" s="80"/>
      <c r="D12" s="287"/>
      <c r="E12" s="80"/>
      <c r="F12" s="80"/>
      <c r="G12" s="279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2"/>
    </row>
    <row r="13" spans="2:21" x14ac:dyDescent="0.3">
      <c r="B13" s="276"/>
      <c r="C13" s="80"/>
      <c r="D13" s="287"/>
      <c r="E13" s="80"/>
      <c r="F13" s="80"/>
      <c r="G13" s="279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2"/>
    </row>
    <row r="14" spans="2:21" ht="25.2" customHeight="1" thickBot="1" x14ac:dyDescent="0.35">
      <c r="B14" s="277"/>
      <c r="C14" s="80"/>
      <c r="D14" s="287"/>
      <c r="E14" s="80"/>
      <c r="F14" s="80"/>
      <c r="G14" s="2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2"/>
    </row>
    <row r="15" spans="2:21" x14ac:dyDescent="0.3">
      <c r="B15" s="83"/>
      <c r="C15" s="80"/>
      <c r="D15" s="287"/>
      <c r="E15" s="80"/>
      <c r="F15" s="80"/>
      <c r="G15" s="82"/>
      <c r="H15" s="80"/>
      <c r="I15" s="80"/>
      <c r="J15" s="80"/>
      <c r="K15" s="80"/>
      <c r="L15" s="80"/>
      <c r="M15" s="80"/>
      <c r="N15" s="80"/>
      <c r="O15" s="80"/>
      <c r="P15" s="322" t="s">
        <v>107</v>
      </c>
      <c r="Q15" s="323"/>
      <c r="R15" s="323"/>
      <c r="S15" s="324"/>
    </row>
    <row r="16" spans="2:21" x14ac:dyDescent="0.3">
      <c r="B16" s="83"/>
      <c r="C16" s="80"/>
      <c r="D16" s="287"/>
      <c r="E16" s="80"/>
      <c r="F16" s="80"/>
      <c r="G16" s="82"/>
      <c r="H16" s="80"/>
      <c r="I16" s="80"/>
      <c r="J16" s="80"/>
      <c r="K16" s="80"/>
      <c r="L16" s="80"/>
      <c r="M16" s="80"/>
      <c r="N16" s="80"/>
      <c r="O16" s="80"/>
      <c r="P16" s="325"/>
      <c r="Q16" s="326"/>
      <c r="R16" s="326"/>
      <c r="S16" s="327"/>
    </row>
    <row r="17" spans="2:21" ht="11.4" customHeight="1" thickBot="1" x14ac:dyDescent="0.35">
      <c r="B17" s="83"/>
      <c r="C17" s="80"/>
      <c r="D17" s="80"/>
      <c r="E17" s="80"/>
      <c r="F17" s="80"/>
      <c r="G17" s="82"/>
      <c r="H17" s="80"/>
      <c r="I17" s="80"/>
      <c r="J17" s="80"/>
      <c r="K17" s="80"/>
      <c r="L17" s="80"/>
      <c r="M17" s="80"/>
      <c r="N17" s="80"/>
      <c r="O17" s="80"/>
      <c r="P17" s="325"/>
      <c r="Q17" s="326"/>
      <c r="R17" s="326"/>
      <c r="S17" s="327"/>
    </row>
    <row r="18" spans="2:21" ht="13.2" customHeight="1" thickTop="1" thickBot="1" x14ac:dyDescent="0.35">
      <c r="B18" s="269" t="s">
        <v>128</v>
      </c>
      <c r="C18" s="270"/>
      <c r="D18" s="80"/>
      <c r="E18" s="81"/>
      <c r="F18" s="81"/>
      <c r="G18" s="82"/>
      <c r="H18" s="339" t="s">
        <v>130</v>
      </c>
      <c r="I18" s="339"/>
      <c r="J18" s="340"/>
      <c r="K18" s="80"/>
      <c r="L18" s="345" t="s">
        <v>131</v>
      </c>
      <c r="M18" s="346"/>
      <c r="N18" s="347"/>
      <c r="O18" s="80"/>
      <c r="P18" s="325"/>
      <c r="Q18" s="326"/>
      <c r="R18" s="326"/>
      <c r="S18" s="327"/>
    </row>
    <row r="19" spans="2:21" x14ac:dyDescent="0.3">
      <c r="B19" s="271"/>
      <c r="C19" s="272"/>
      <c r="D19" s="80"/>
      <c r="E19" s="263" t="s">
        <v>136</v>
      </c>
      <c r="F19" s="264"/>
      <c r="G19" s="82"/>
      <c r="H19" s="341"/>
      <c r="I19" s="341"/>
      <c r="J19" s="342"/>
      <c r="K19" s="80"/>
      <c r="L19" s="295"/>
      <c r="M19" s="290"/>
      <c r="N19" s="291"/>
      <c r="O19" s="80"/>
      <c r="P19" s="325"/>
      <c r="Q19" s="326"/>
      <c r="R19" s="326"/>
      <c r="S19" s="327"/>
    </row>
    <row r="20" spans="2:21" x14ac:dyDescent="0.3">
      <c r="B20" s="271"/>
      <c r="C20" s="272"/>
      <c r="D20" s="80"/>
      <c r="E20" s="265"/>
      <c r="F20" s="266"/>
      <c r="G20" s="82"/>
      <c r="H20" s="341"/>
      <c r="I20" s="341"/>
      <c r="J20" s="342"/>
      <c r="K20" s="80"/>
      <c r="L20" s="295"/>
      <c r="M20" s="290"/>
      <c r="N20" s="291"/>
      <c r="O20" s="80"/>
      <c r="P20" s="325"/>
      <c r="Q20" s="326"/>
      <c r="R20" s="326"/>
      <c r="S20" s="327"/>
    </row>
    <row r="21" spans="2:21" x14ac:dyDescent="0.3">
      <c r="B21" s="271"/>
      <c r="C21" s="272"/>
      <c r="D21" s="80"/>
      <c r="E21" s="265"/>
      <c r="F21" s="266"/>
      <c r="G21" s="82"/>
      <c r="H21" s="341"/>
      <c r="I21" s="341"/>
      <c r="J21" s="342"/>
      <c r="K21" s="80"/>
      <c r="L21" s="295"/>
      <c r="M21" s="290"/>
      <c r="N21" s="291"/>
      <c r="O21" s="80"/>
      <c r="P21" s="325"/>
      <c r="Q21" s="326"/>
      <c r="R21" s="326"/>
      <c r="S21" s="327"/>
    </row>
    <row r="22" spans="2:21" ht="15" thickBot="1" x14ac:dyDescent="0.35">
      <c r="B22" s="271"/>
      <c r="C22" s="272"/>
      <c r="D22" s="80"/>
      <c r="E22" s="267"/>
      <c r="F22" s="268"/>
      <c r="G22" s="91"/>
      <c r="H22" s="343"/>
      <c r="I22" s="343"/>
      <c r="J22" s="344"/>
      <c r="K22" s="80"/>
      <c r="L22" s="348"/>
      <c r="M22" s="349"/>
      <c r="N22" s="350"/>
      <c r="O22" s="80"/>
      <c r="P22" s="328"/>
      <c r="Q22" s="329"/>
      <c r="R22" s="329"/>
      <c r="S22" s="330"/>
    </row>
    <row r="23" spans="2:21" ht="15" thickBot="1" x14ac:dyDescent="0.35">
      <c r="B23" s="273"/>
      <c r="C23" s="274"/>
      <c r="D23" s="86"/>
      <c r="E23" s="87"/>
      <c r="F23" s="89"/>
      <c r="G23" s="90"/>
      <c r="H23" s="89"/>
      <c r="I23" s="87"/>
      <c r="J23" s="87"/>
      <c r="K23" s="90"/>
      <c r="L23" s="89"/>
      <c r="M23" s="89"/>
      <c r="N23" s="87"/>
      <c r="O23" s="86"/>
      <c r="P23" s="89"/>
      <c r="Q23" s="89"/>
      <c r="R23" s="89"/>
      <c r="S23" s="88"/>
    </row>
    <row r="24" spans="2:21" x14ac:dyDescent="0.3">
      <c r="B24" s="83"/>
      <c r="C24" s="80"/>
      <c r="D24" s="80"/>
      <c r="E24" s="80"/>
      <c r="F24" s="297" t="s">
        <v>125</v>
      </c>
      <c r="G24" s="298"/>
      <c r="H24" s="299"/>
      <c r="I24" s="80"/>
      <c r="J24" s="80"/>
      <c r="K24" s="306" t="s">
        <v>126</v>
      </c>
      <c r="L24" s="307"/>
      <c r="M24" s="308"/>
      <c r="N24" s="80"/>
      <c r="O24" s="80"/>
      <c r="P24" s="314" t="s">
        <v>127</v>
      </c>
      <c r="Q24" s="315"/>
      <c r="R24" s="316"/>
      <c r="S24" s="82"/>
    </row>
    <row r="25" spans="2:21" x14ac:dyDescent="0.3">
      <c r="B25" s="83"/>
      <c r="C25" s="80"/>
      <c r="D25" s="80"/>
      <c r="E25" s="80"/>
      <c r="F25" s="300"/>
      <c r="G25" s="301"/>
      <c r="H25" s="302"/>
      <c r="I25" s="80"/>
      <c r="J25" s="80"/>
      <c r="K25" s="309"/>
      <c r="L25" s="301"/>
      <c r="M25" s="310"/>
      <c r="N25" s="80"/>
      <c r="O25" s="80"/>
      <c r="P25" s="317"/>
      <c r="Q25" s="301"/>
      <c r="R25" s="318"/>
      <c r="S25" s="82"/>
    </row>
    <row r="26" spans="2:21" x14ac:dyDescent="0.3">
      <c r="B26" s="84"/>
      <c r="C26" s="81"/>
      <c r="D26" s="80"/>
      <c r="E26" s="80"/>
      <c r="F26" s="300"/>
      <c r="G26" s="301"/>
      <c r="H26" s="302"/>
      <c r="I26" s="80"/>
      <c r="J26" s="80"/>
      <c r="K26" s="309"/>
      <c r="L26" s="301"/>
      <c r="M26" s="310"/>
      <c r="N26" s="80"/>
      <c r="O26" s="80"/>
      <c r="P26" s="317"/>
      <c r="Q26" s="301"/>
      <c r="R26" s="318"/>
      <c r="S26" s="82"/>
    </row>
    <row r="27" spans="2:21" ht="15" thickBot="1" x14ac:dyDescent="0.35">
      <c r="B27" s="84"/>
      <c r="C27" s="81"/>
      <c r="D27" s="80"/>
      <c r="E27" s="80"/>
      <c r="F27" s="303"/>
      <c r="G27" s="304"/>
      <c r="H27" s="305"/>
      <c r="I27" s="80"/>
      <c r="J27" s="80"/>
      <c r="K27" s="311"/>
      <c r="L27" s="312"/>
      <c r="M27" s="313"/>
      <c r="N27" s="80"/>
      <c r="O27" s="80"/>
      <c r="P27" s="319"/>
      <c r="Q27" s="320"/>
      <c r="R27" s="321"/>
      <c r="S27" s="82"/>
    </row>
    <row r="28" spans="2:21" ht="15" thickTop="1" x14ac:dyDescent="0.3">
      <c r="B28" s="84"/>
      <c r="C28" s="81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333" t="s">
        <v>138</v>
      </c>
      <c r="U28" s="334"/>
    </row>
    <row r="29" spans="2:21" x14ac:dyDescent="0.3">
      <c r="B29" s="84"/>
      <c r="C29" s="81"/>
      <c r="D29" s="80"/>
      <c r="E29" s="351" t="s">
        <v>152</v>
      </c>
      <c r="F29" s="351"/>
      <c r="G29" s="351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335"/>
      <c r="U29" s="336"/>
    </row>
    <row r="30" spans="2:21" ht="15.6" thickBot="1" x14ac:dyDescent="0.4">
      <c r="B30" s="83"/>
      <c r="C30" s="80"/>
      <c r="D30" s="80"/>
      <c r="E30" s="351"/>
      <c r="F30" s="351"/>
      <c r="G30" s="351"/>
      <c r="H30" s="80"/>
      <c r="I30" s="80"/>
      <c r="J30" s="80"/>
      <c r="K30" s="80"/>
      <c r="L30" s="80"/>
      <c r="M30" s="80"/>
      <c r="N30" s="80"/>
      <c r="O30" s="94"/>
      <c r="P30" s="80"/>
      <c r="Q30" s="80"/>
      <c r="R30" s="80"/>
      <c r="S30" s="80"/>
      <c r="T30" s="337"/>
      <c r="U30" s="338"/>
    </row>
    <row r="31" spans="2:21" ht="16.2" thickTop="1" thickBot="1" x14ac:dyDescent="0.4">
      <c r="B31" s="83"/>
      <c r="C31" s="80"/>
      <c r="D31" s="80"/>
      <c r="E31" s="351"/>
      <c r="F31" s="351"/>
      <c r="G31" s="351"/>
      <c r="H31" s="80"/>
      <c r="I31" s="80"/>
      <c r="J31" s="80"/>
      <c r="K31" s="80"/>
      <c r="L31" s="80"/>
      <c r="M31" s="80"/>
      <c r="N31" s="80"/>
      <c r="O31" s="94"/>
      <c r="P31" s="80"/>
      <c r="Q31" s="80"/>
      <c r="R31" s="80"/>
      <c r="S31" s="82"/>
    </row>
    <row r="32" spans="2:21" x14ac:dyDescent="0.3">
      <c r="B32" s="281" t="s">
        <v>124</v>
      </c>
      <c r="C32" s="282"/>
      <c r="D32" s="80"/>
      <c r="E32" s="351"/>
      <c r="F32" s="351"/>
      <c r="G32" s="351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2"/>
    </row>
    <row r="33" spans="1:19" ht="15" thickBot="1" x14ac:dyDescent="0.35">
      <c r="B33" s="283"/>
      <c r="C33" s="284"/>
      <c r="D33" s="80"/>
      <c r="E33" s="351"/>
      <c r="F33" s="351"/>
      <c r="G33" s="351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2"/>
    </row>
    <row r="34" spans="1:19" ht="15" customHeight="1" x14ac:dyDescent="0.3">
      <c r="B34" s="283"/>
      <c r="C34" s="284"/>
      <c r="D34" s="80"/>
      <c r="E34" s="351"/>
      <c r="F34" s="351"/>
      <c r="G34" s="351"/>
      <c r="H34" s="80"/>
      <c r="I34" s="251" t="s">
        <v>139</v>
      </c>
      <c r="J34" s="352"/>
      <c r="K34" s="80"/>
      <c r="L34" s="80"/>
      <c r="M34" s="80"/>
      <c r="N34" s="80"/>
      <c r="O34" s="80"/>
      <c r="P34" s="80"/>
      <c r="Q34" s="80"/>
      <c r="R34" s="251" t="s">
        <v>140</v>
      </c>
      <c r="S34" s="252"/>
    </row>
    <row r="35" spans="1:19" x14ac:dyDescent="0.3">
      <c r="B35" s="283"/>
      <c r="C35" s="284"/>
      <c r="D35" s="80"/>
      <c r="E35" s="351"/>
      <c r="F35" s="351"/>
      <c r="G35" s="351"/>
      <c r="H35" s="80"/>
      <c r="I35" s="253"/>
      <c r="J35" s="353"/>
      <c r="K35" s="80"/>
      <c r="L35" s="80"/>
      <c r="M35" s="80"/>
      <c r="N35" s="80"/>
      <c r="O35" s="80"/>
      <c r="P35" s="80"/>
      <c r="Q35" s="80"/>
      <c r="R35" s="253"/>
      <c r="S35" s="254"/>
    </row>
    <row r="36" spans="1:19" ht="15" thickBot="1" x14ac:dyDescent="0.35">
      <c r="B36" s="283"/>
      <c r="C36" s="284"/>
      <c r="D36" s="80"/>
      <c r="E36" s="351"/>
      <c r="F36" s="351"/>
      <c r="G36" s="351"/>
      <c r="H36" s="80"/>
      <c r="I36" s="253"/>
      <c r="J36" s="353"/>
      <c r="K36" s="80"/>
      <c r="L36" s="80"/>
      <c r="M36" s="80"/>
      <c r="N36" s="80"/>
      <c r="O36" s="80"/>
      <c r="P36" s="80"/>
      <c r="Q36" s="80"/>
      <c r="R36" s="253"/>
      <c r="S36" s="254"/>
    </row>
    <row r="37" spans="1:19" ht="15" customHeight="1" x14ac:dyDescent="0.3">
      <c r="B37" s="283"/>
      <c r="C37" s="284"/>
      <c r="D37" s="96"/>
      <c r="E37" s="331" t="s">
        <v>134</v>
      </c>
      <c r="F37" s="81"/>
      <c r="G37" s="80"/>
      <c r="H37" s="80"/>
      <c r="I37" s="253"/>
      <c r="J37" s="353"/>
      <c r="K37" s="80"/>
      <c r="L37" s="80"/>
      <c r="M37" s="80"/>
      <c r="N37" s="80"/>
      <c r="O37" s="80"/>
      <c r="P37" s="80"/>
      <c r="Q37" s="80"/>
      <c r="R37" s="253"/>
      <c r="S37" s="254"/>
    </row>
    <row r="38" spans="1:19" ht="15.6" thickBot="1" x14ac:dyDescent="0.4">
      <c r="B38" s="285"/>
      <c r="C38" s="286"/>
      <c r="D38" s="97"/>
      <c r="E38" s="332"/>
      <c r="F38" s="98"/>
      <c r="G38" s="85"/>
      <c r="H38" s="85"/>
      <c r="I38" s="255"/>
      <c r="J38" s="354"/>
      <c r="K38" s="85"/>
      <c r="L38" s="85"/>
      <c r="M38" s="85"/>
      <c r="N38" s="95" t="s">
        <v>141</v>
      </c>
      <c r="O38" s="85"/>
      <c r="P38" s="85"/>
      <c r="Q38" s="85"/>
      <c r="R38" s="255"/>
      <c r="S38" s="256"/>
    </row>
    <row r="43" spans="1:19" ht="15.6" x14ac:dyDescent="0.3">
      <c r="A43" s="102" t="s">
        <v>143</v>
      </c>
    </row>
  </sheetData>
  <sheetProtection sheet="1" objects="1" scenarios="1"/>
  <mergeCells count="23">
    <mergeCell ref="E37:E38"/>
    <mergeCell ref="T9:U11"/>
    <mergeCell ref="T28:U30"/>
    <mergeCell ref="H18:J22"/>
    <mergeCell ref="L18:N22"/>
    <mergeCell ref="E29:G36"/>
    <mergeCell ref="I34:J38"/>
    <mergeCell ref="C3:C4"/>
    <mergeCell ref="R34:S38"/>
    <mergeCell ref="E3:F6"/>
    <mergeCell ref="E19:F22"/>
    <mergeCell ref="B18:C23"/>
    <mergeCell ref="B3:B14"/>
    <mergeCell ref="G9:G14"/>
    <mergeCell ref="B32:C38"/>
    <mergeCell ref="D8:D16"/>
    <mergeCell ref="H3:J7"/>
    <mergeCell ref="L3:N7"/>
    <mergeCell ref="F24:H27"/>
    <mergeCell ref="K24:M27"/>
    <mergeCell ref="P24:R27"/>
    <mergeCell ref="P3:R7"/>
    <mergeCell ref="P15:S22"/>
  </mergeCells>
  <hyperlinks>
    <hyperlink ref="U2" location="Acasa!A1" display="Home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E61A"/>
  </sheetPr>
  <dimension ref="A1:W53"/>
  <sheetViews>
    <sheetView workbookViewId="0"/>
  </sheetViews>
  <sheetFormatPr defaultRowHeight="14.4" x14ac:dyDescent="0.3"/>
  <cols>
    <col min="1" max="1" width="9.5546875" customWidth="1"/>
    <col min="2" max="2" width="9.21875" customWidth="1"/>
    <col min="3" max="3" width="19.5546875" customWidth="1"/>
    <col min="4" max="4" width="11.33203125" customWidth="1"/>
    <col min="5" max="5" width="15.109375" customWidth="1"/>
    <col min="6" max="6" width="15.33203125" customWidth="1"/>
    <col min="7" max="7" width="12.88671875" customWidth="1"/>
    <col min="8" max="8" width="15.109375" customWidth="1"/>
    <col min="9" max="9" width="12.109375" bestFit="1" customWidth="1"/>
  </cols>
  <sheetData>
    <row r="1" spans="1:23" ht="23.4" x14ac:dyDescent="0.45">
      <c r="A1" s="117"/>
      <c r="B1" s="117"/>
      <c r="C1" s="126"/>
      <c r="D1" s="126"/>
      <c r="E1" s="125"/>
      <c r="F1" s="170" t="s">
        <v>211</v>
      </c>
      <c r="G1" s="117"/>
      <c r="H1" s="125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spans="1:23" ht="23.4" x14ac:dyDescent="0.45">
      <c r="A2" s="117"/>
      <c r="B2" s="117"/>
      <c r="C2" s="117"/>
      <c r="D2" s="124"/>
      <c r="E2" s="125"/>
      <c r="F2" s="117"/>
      <c r="G2" s="117"/>
      <c r="H2" s="125"/>
      <c r="I2" s="117"/>
      <c r="J2" s="117"/>
      <c r="K2" s="117"/>
      <c r="L2" s="117"/>
      <c r="M2" s="117"/>
      <c r="N2" s="117"/>
      <c r="O2" s="117"/>
      <c r="P2" s="117"/>
      <c r="Q2" s="117"/>
      <c r="R2" s="130" t="s">
        <v>7</v>
      </c>
      <c r="S2" s="117"/>
      <c r="T2" s="117"/>
      <c r="U2" s="117"/>
      <c r="V2" s="117"/>
      <c r="W2" s="117"/>
    </row>
    <row r="3" spans="1:23" ht="28.2" customHeight="1" x14ac:dyDescent="0.3">
      <c r="A3" s="117"/>
      <c r="B3" s="123" t="s">
        <v>162</v>
      </c>
      <c r="C3" s="123" t="s">
        <v>157</v>
      </c>
      <c r="D3" s="123" t="s">
        <v>158</v>
      </c>
      <c r="E3" s="123" t="s">
        <v>159</v>
      </c>
      <c r="F3" s="123" t="s">
        <v>181</v>
      </c>
      <c r="G3" s="123" t="s">
        <v>182</v>
      </c>
      <c r="H3" s="123" t="s">
        <v>159</v>
      </c>
      <c r="I3" s="169" t="s">
        <v>210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</row>
    <row r="4" spans="1:23" ht="21" customHeight="1" x14ac:dyDescent="0.3">
      <c r="A4" s="117"/>
      <c r="B4" s="118"/>
      <c r="C4" s="119" t="s">
        <v>160</v>
      </c>
      <c r="D4" s="127" t="s">
        <v>171</v>
      </c>
      <c r="E4" s="120">
        <v>4.8425000000000002</v>
      </c>
      <c r="F4" s="121">
        <v>4.7451999999999996</v>
      </c>
      <c r="G4" s="122">
        <v>4.9387999999999996</v>
      </c>
      <c r="H4" s="121">
        <v>4.8425000000000002</v>
      </c>
      <c r="I4" s="121">
        <v>5.5533000000000001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</row>
    <row r="5" spans="1:23" ht="21" customHeight="1" x14ac:dyDescent="0.3">
      <c r="A5" s="117"/>
      <c r="B5" s="118"/>
      <c r="C5" s="119" t="s">
        <v>161</v>
      </c>
      <c r="D5" s="127" t="s">
        <v>172</v>
      </c>
      <c r="E5" s="121">
        <v>4.4954999999999998</v>
      </c>
      <c r="F5" s="121">
        <v>4.3895999999999997</v>
      </c>
      <c r="G5" s="122">
        <v>4.5688000000000004</v>
      </c>
      <c r="H5" s="121">
        <v>4.4954999999999998</v>
      </c>
      <c r="I5" s="121">
        <v>4.8425000000000002</v>
      </c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</row>
    <row r="6" spans="1:23" ht="22.2" customHeight="1" x14ac:dyDescent="0.3">
      <c r="A6" s="117"/>
      <c r="B6" s="118"/>
      <c r="C6" s="119" t="s">
        <v>163</v>
      </c>
      <c r="D6" s="127" t="s">
        <v>173</v>
      </c>
      <c r="E6" s="121">
        <v>5.5533000000000001</v>
      </c>
      <c r="F6" s="121">
        <v>5.4291999999999998</v>
      </c>
      <c r="G6" s="122">
        <v>5.6508000000000003</v>
      </c>
      <c r="H6" s="121">
        <v>5.5533000000000001</v>
      </c>
      <c r="I6" s="121">
        <v>4.4954999999999998</v>
      </c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</row>
    <row r="7" spans="1:23" ht="25.2" customHeight="1" x14ac:dyDescent="0.3">
      <c r="A7" s="117"/>
      <c r="B7" s="118"/>
      <c r="C7" s="119" t="s">
        <v>164</v>
      </c>
      <c r="D7" s="127" t="s">
        <v>174</v>
      </c>
      <c r="E7" s="121">
        <v>4.0709999999999997</v>
      </c>
      <c r="F7" s="121">
        <v>4.5132000000000003</v>
      </c>
      <c r="G7" s="122">
        <v>4.6974</v>
      </c>
      <c r="H7" s="121">
        <v>4.0709999999999997</v>
      </c>
      <c r="I7" s="121">
        <v>4.0709999999999997</v>
      </c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</row>
    <row r="8" spans="1:23" ht="24.6" customHeight="1" x14ac:dyDescent="0.3">
      <c r="A8" s="117"/>
      <c r="B8" s="118"/>
      <c r="C8" s="119" t="s">
        <v>165</v>
      </c>
      <c r="D8" s="127" t="s">
        <v>175</v>
      </c>
      <c r="E8" s="121">
        <v>2.8622999999999998</v>
      </c>
      <c r="F8" s="121">
        <v>2.8035000000000001</v>
      </c>
      <c r="G8" s="122">
        <v>2.9178999999999999</v>
      </c>
      <c r="H8" s="121">
        <v>2.8622999999999998</v>
      </c>
      <c r="I8" s="121">
        <v>2.8622999999999998</v>
      </c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</row>
    <row r="9" spans="1:23" ht="23.4" customHeight="1" x14ac:dyDescent="0.3">
      <c r="A9" s="117"/>
      <c r="B9" s="118"/>
      <c r="C9" s="119" t="s">
        <v>166</v>
      </c>
      <c r="D9" s="127" t="s">
        <v>176</v>
      </c>
      <c r="E9" s="121">
        <v>0.64929999999999999</v>
      </c>
      <c r="F9" s="121">
        <v>0.6361</v>
      </c>
      <c r="G9" s="122">
        <v>0.66210000000000002</v>
      </c>
      <c r="H9" s="121">
        <v>0.64929999999999999</v>
      </c>
      <c r="I9" s="121">
        <v>0.64929999999999999</v>
      </c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</row>
    <row r="10" spans="1:23" ht="23.4" customHeight="1" x14ac:dyDescent="0.3">
      <c r="A10" s="117"/>
      <c r="B10" s="118"/>
      <c r="C10" s="119" t="s">
        <v>167</v>
      </c>
      <c r="D10" s="127" t="s">
        <v>177</v>
      </c>
      <c r="E10" s="121">
        <v>1.35E-2</v>
      </c>
      <c r="F10" s="121">
        <v>1.3299999999999999E-2</v>
      </c>
      <c r="G10" s="122">
        <v>1.38E-2</v>
      </c>
      <c r="H10" s="121">
        <v>1.35E-2</v>
      </c>
      <c r="I10" s="121">
        <v>0.44469999999999998</v>
      </c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</row>
    <row r="11" spans="1:23" ht="23.4" customHeight="1" x14ac:dyDescent="0.3">
      <c r="A11" s="117"/>
      <c r="B11" s="118"/>
      <c r="C11" s="119" t="s">
        <v>168</v>
      </c>
      <c r="D11" s="127" t="s">
        <v>178</v>
      </c>
      <c r="E11" s="121">
        <v>4.1799999999999997E-2</v>
      </c>
      <c r="F11" s="121">
        <v>4.0800000000000003E-2</v>
      </c>
      <c r="G11" s="122">
        <v>4.24E-2</v>
      </c>
      <c r="H11" s="121">
        <v>4.1799999999999997E-2</v>
      </c>
      <c r="I11" s="121">
        <v>0.42049999999999998</v>
      </c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</row>
    <row r="12" spans="1:23" ht="24.6" customHeight="1" x14ac:dyDescent="0.3">
      <c r="A12" s="117"/>
      <c r="B12" s="118"/>
      <c r="C12" s="119" t="s">
        <v>169</v>
      </c>
      <c r="D12" s="127" t="s">
        <v>179</v>
      </c>
      <c r="E12" s="121">
        <v>0.42049999999999998</v>
      </c>
      <c r="F12" s="121">
        <v>0.41339999999999999</v>
      </c>
      <c r="G12" s="122">
        <v>0.43020000000000003</v>
      </c>
      <c r="H12" s="121">
        <v>0.42049999999999998</v>
      </c>
      <c r="I12" s="121">
        <v>4.1799999999999997E-2</v>
      </c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</row>
    <row r="13" spans="1:23" ht="25.2" customHeight="1" x14ac:dyDescent="0.3">
      <c r="A13" s="117"/>
      <c r="B13" s="118"/>
      <c r="C13" s="119" t="s">
        <v>170</v>
      </c>
      <c r="D13" s="127" t="s">
        <v>180</v>
      </c>
      <c r="E13" s="121">
        <v>0.44469999999999998</v>
      </c>
      <c r="F13" s="121">
        <v>0.43619999999999998</v>
      </c>
      <c r="G13" s="122">
        <v>0.45400000000000001</v>
      </c>
      <c r="H13" s="121">
        <v>0.44469999999999998</v>
      </c>
      <c r="I13" s="121">
        <v>1.35E-2</v>
      </c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</row>
    <row r="14" spans="1:23" x14ac:dyDescent="0.3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</row>
    <row r="15" spans="1:23" x14ac:dyDescent="0.3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</row>
    <row r="16" spans="1:23" x14ac:dyDescent="0.3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</row>
    <row r="17" spans="1:23" x14ac:dyDescent="0.3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</row>
    <row r="18" spans="1:23" x14ac:dyDescent="0.3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</row>
    <row r="19" spans="1:23" x14ac:dyDescent="0.3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</row>
    <row r="20" spans="1:23" x14ac:dyDescent="0.3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</row>
    <row r="21" spans="1:23" x14ac:dyDescent="0.3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</row>
    <row r="22" spans="1:23" x14ac:dyDescent="0.3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</row>
    <row r="23" spans="1:23" x14ac:dyDescent="0.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</row>
    <row r="24" spans="1:23" x14ac:dyDescent="0.3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</row>
    <row r="25" spans="1:23" x14ac:dyDescent="0.3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</row>
    <row r="26" spans="1:23" x14ac:dyDescent="0.3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</row>
    <row r="27" spans="1:23" x14ac:dyDescent="0.3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</row>
    <row r="28" spans="1:23" x14ac:dyDescent="0.3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</row>
    <row r="29" spans="1:23" x14ac:dyDescent="0.3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</row>
    <row r="30" spans="1:23" x14ac:dyDescent="0.3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</row>
    <row r="31" spans="1:23" x14ac:dyDescent="0.3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</row>
    <row r="32" spans="1:23" x14ac:dyDescent="0.3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</row>
    <row r="33" spans="1:23" x14ac:dyDescent="0.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</row>
    <row r="34" spans="1:23" x14ac:dyDescent="0.3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 spans="1:23" x14ac:dyDescent="0.3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</row>
    <row r="36" spans="1:23" x14ac:dyDescent="0.3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</row>
    <row r="37" spans="1:23" x14ac:dyDescent="0.3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 spans="1:23" x14ac:dyDescent="0.3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</row>
    <row r="39" spans="1:23" x14ac:dyDescent="0.3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</row>
    <row r="40" spans="1:23" x14ac:dyDescent="0.3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</row>
    <row r="41" spans="1:23" x14ac:dyDescent="0.3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</row>
    <row r="42" spans="1:23" x14ac:dyDescent="0.3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</row>
    <row r="43" spans="1:23" x14ac:dyDescent="0.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</row>
    <row r="44" spans="1:23" x14ac:dyDescent="0.3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</row>
    <row r="45" spans="1:23" x14ac:dyDescent="0.3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</row>
    <row r="46" spans="1:23" x14ac:dyDescent="0.3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</row>
    <row r="47" spans="1:23" x14ac:dyDescent="0.3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</row>
    <row r="48" spans="1:23" x14ac:dyDescent="0.3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</row>
    <row r="49" spans="1:23" x14ac:dyDescent="0.3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</row>
    <row r="50" spans="1:23" x14ac:dyDescent="0.3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</row>
    <row r="51" spans="1:23" x14ac:dyDescent="0.3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</row>
    <row r="52" spans="1:23" x14ac:dyDescent="0.3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</row>
    <row r="53" spans="1:23" x14ac:dyDescent="0.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</row>
  </sheetData>
  <sheetProtection sheet="1" objects="1" scenarios="1"/>
  <sortState ref="I4:I13">
    <sortCondition descending="1" ref="I4"/>
  </sortState>
  <hyperlinks>
    <hyperlink ref="R2" location="Acasa!A1" display="Home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74B78"/>
  </sheetPr>
  <dimension ref="A1:W49"/>
  <sheetViews>
    <sheetView workbookViewId="0">
      <selection activeCell="D34" sqref="D34"/>
    </sheetView>
  </sheetViews>
  <sheetFormatPr defaultRowHeight="14.4" x14ac:dyDescent="0.3"/>
  <cols>
    <col min="1" max="1" width="11.88671875" bestFit="1" customWidth="1"/>
    <col min="2" max="2" width="13.21875" customWidth="1"/>
    <col min="3" max="3" width="16" customWidth="1"/>
    <col min="4" max="4" width="38.5546875" bestFit="1" customWidth="1"/>
    <col min="5" max="5" width="11.77734375" customWidth="1"/>
    <col min="6" max="6" width="12.109375" customWidth="1"/>
    <col min="7" max="7" width="12.33203125" customWidth="1"/>
    <col min="8" max="8" width="9.88671875" customWidth="1"/>
    <col min="9" max="9" width="11.109375" bestFit="1" customWidth="1"/>
    <col min="10" max="10" width="24.6640625" hidden="1" customWidth="1"/>
    <col min="13" max="13" width="9.33203125" customWidth="1"/>
  </cols>
  <sheetData>
    <row r="1" spans="1:23" ht="23.4" x14ac:dyDescent="0.45">
      <c r="A1" s="5"/>
      <c r="B1" s="5"/>
      <c r="C1" s="5"/>
      <c r="D1" s="5"/>
      <c r="E1" s="164"/>
      <c r="F1" s="168" t="s">
        <v>195</v>
      </c>
      <c r="G1" s="148"/>
      <c r="H1" s="148"/>
      <c r="I1" s="148"/>
      <c r="J1" s="5"/>
      <c r="K1" s="5"/>
      <c r="L1" s="5"/>
      <c r="M1" s="5"/>
      <c r="N1" s="5"/>
      <c r="O1" s="5"/>
      <c r="P1" s="185" t="s">
        <v>7</v>
      </c>
      <c r="Q1" s="5"/>
      <c r="R1" s="5"/>
      <c r="S1" s="5"/>
      <c r="T1" s="5"/>
      <c r="U1" s="5"/>
      <c r="V1" s="5"/>
      <c r="W1" s="5"/>
    </row>
    <row r="2" spans="1:23" ht="24" thickBot="1" x14ac:dyDescent="0.5">
      <c r="A2" s="5"/>
      <c r="B2" s="5"/>
      <c r="C2" s="5"/>
      <c r="D2" s="5"/>
      <c r="E2" s="5"/>
      <c r="F2" s="5"/>
      <c r="G2" s="14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51"/>
      <c r="V2" s="5"/>
      <c r="W2" s="5"/>
    </row>
    <row r="3" spans="1:23" s="138" customFormat="1" ht="15" thickBot="1" x14ac:dyDescent="0.35">
      <c r="A3" s="145" t="s">
        <v>158</v>
      </c>
      <c r="B3" s="145" t="s">
        <v>55</v>
      </c>
      <c r="C3" s="145" t="s">
        <v>56</v>
      </c>
      <c r="D3" s="145" t="s">
        <v>60</v>
      </c>
      <c r="E3" s="145" t="s">
        <v>61</v>
      </c>
      <c r="F3" s="145" t="s">
        <v>190</v>
      </c>
      <c r="G3" s="145" t="s">
        <v>191</v>
      </c>
      <c r="H3" s="145" t="s">
        <v>193</v>
      </c>
      <c r="I3" s="145" t="s">
        <v>192</v>
      </c>
      <c r="J3" s="145" t="s">
        <v>209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</row>
    <row r="4" spans="1:23" ht="15" thickBot="1" x14ac:dyDescent="0.35">
      <c r="A4" s="142">
        <v>1</v>
      </c>
      <c r="B4" s="143" t="s">
        <v>66</v>
      </c>
      <c r="C4" s="143" t="s">
        <v>65</v>
      </c>
      <c r="D4" s="143" t="str">
        <f>VLOOKUP(B4,Table4[[Nume]:[Post]],10,0)</f>
        <v>Director executiv</v>
      </c>
      <c r="E4" s="162">
        <f>VLOOKUP(A4,Structura!A6:L22,12,0)</f>
        <v>8</v>
      </c>
      <c r="F4" s="162">
        <v>21</v>
      </c>
      <c r="G4" s="163">
        <v>60</v>
      </c>
      <c r="H4" s="144">
        <v>1000</v>
      </c>
      <c r="I4" s="146">
        <f>(G4*E4*F4)+H4</f>
        <v>11080</v>
      </c>
      <c r="J4" s="143" t="s">
        <v>66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" thickBot="1" x14ac:dyDescent="0.35">
      <c r="A5" s="142">
        <v>2</v>
      </c>
      <c r="B5" s="143" t="s">
        <v>68</v>
      </c>
      <c r="C5" s="143" t="s">
        <v>67</v>
      </c>
      <c r="D5" s="143" t="str">
        <f>VLOOKUP(B5,Table4[[Nume]:[Post]],10,0)</f>
        <v>Deputy CEO &amp; Head of Midcorporate Banking</v>
      </c>
      <c r="E5" s="162">
        <f>VLOOKUP(A5,Structura!A7:L23,12,0)</f>
        <v>8</v>
      </c>
      <c r="F5" s="162">
        <v>20</v>
      </c>
      <c r="G5" s="163">
        <v>42</v>
      </c>
      <c r="H5" s="144">
        <v>500</v>
      </c>
      <c r="I5" s="146">
        <f t="shared" ref="I5:I20" si="0">(G5*E5*F5)+H5</f>
        <v>7220</v>
      </c>
      <c r="J5" s="143" t="s">
        <v>69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" thickBot="1" x14ac:dyDescent="0.35">
      <c r="A6" s="142">
        <v>3</v>
      </c>
      <c r="B6" s="143" t="s">
        <v>69</v>
      </c>
      <c r="C6" s="143" t="s">
        <v>70</v>
      </c>
      <c r="D6" s="143" t="str">
        <f>VLOOKUP(B6,Table4[[Nume]:[Post]],10,0)</f>
        <v>Head of Retail Banking</v>
      </c>
      <c r="E6" s="162">
        <f>VLOOKUP(A6,Structura!A8:L24,12,0)</f>
        <v>8</v>
      </c>
      <c r="F6" s="162">
        <v>17</v>
      </c>
      <c r="G6" s="163">
        <v>43</v>
      </c>
      <c r="H6" s="144">
        <v>350</v>
      </c>
      <c r="I6" s="146">
        <f t="shared" si="0"/>
        <v>6198</v>
      </c>
      <c r="J6" s="143" t="s">
        <v>75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" thickBot="1" x14ac:dyDescent="0.35">
      <c r="A7" s="142">
        <v>4</v>
      </c>
      <c r="B7" s="143" t="s">
        <v>71</v>
      </c>
      <c r="C7" s="143" t="s">
        <v>72</v>
      </c>
      <c r="D7" s="143" t="str">
        <f>VLOOKUP(B7,Table4[[Nume]:[Post]],10,0)</f>
        <v>Chief Financial Officer</v>
      </c>
      <c r="E7" s="162">
        <f>VLOOKUP(A7,Structura!A9:L25,12,0)</f>
        <v>8</v>
      </c>
      <c r="F7" s="162">
        <v>21</v>
      </c>
      <c r="G7" s="163">
        <v>44</v>
      </c>
      <c r="H7" s="144">
        <v>200</v>
      </c>
      <c r="I7" s="146">
        <f>(G7*E7*F7)+H7</f>
        <v>7592</v>
      </c>
      <c r="J7" s="143" t="s">
        <v>77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5" thickBot="1" x14ac:dyDescent="0.35">
      <c r="A8" s="142">
        <v>5</v>
      </c>
      <c r="B8" s="143" t="s">
        <v>73</v>
      </c>
      <c r="C8" s="143" t="s">
        <v>74</v>
      </c>
      <c r="D8" s="143" t="str">
        <f>VLOOKUP(B8,Table4[[Nume]:[Post]],10,0)</f>
        <v>Chief Risk Officer</v>
      </c>
      <c r="E8" s="162">
        <f>VLOOKUP(A8,Structura!A10:L26,12,0)</f>
        <v>8</v>
      </c>
      <c r="F8" s="162">
        <v>21</v>
      </c>
      <c r="G8" s="163">
        <v>39</v>
      </c>
      <c r="H8" s="144">
        <v>300</v>
      </c>
      <c r="I8" s="146">
        <f t="shared" si="0"/>
        <v>6852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" thickBot="1" x14ac:dyDescent="0.35">
      <c r="A9" s="142">
        <v>6</v>
      </c>
      <c r="B9" s="143" t="s">
        <v>75</v>
      </c>
      <c r="C9" s="143" t="s">
        <v>76</v>
      </c>
      <c r="D9" s="143" t="str">
        <f>VLOOKUP(B9,Table4[[Nume]:[Post]],10,0)</f>
        <v>Head Of Human Resources</v>
      </c>
      <c r="E9" s="162">
        <f>VLOOKUP(A9,Structura!A11:L27,12,0)</f>
        <v>8</v>
      </c>
      <c r="F9" s="162">
        <v>20</v>
      </c>
      <c r="G9" s="163">
        <v>47</v>
      </c>
      <c r="H9" s="144">
        <v>650</v>
      </c>
      <c r="I9" s="146">
        <f t="shared" si="0"/>
        <v>8170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5" thickBot="1" x14ac:dyDescent="0.35">
      <c r="A10" s="142">
        <v>7</v>
      </c>
      <c r="B10" s="143" t="s">
        <v>77</v>
      </c>
      <c r="C10" s="143" t="s">
        <v>78</v>
      </c>
      <c r="D10" s="143" t="str">
        <f>VLOOKUP(B10,Table4[[Nume]:[Post]],10,0)</f>
        <v>Deputy CEO &amp; Chief Operating Officer</v>
      </c>
      <c r="E10" s="162">
        <f>VLOOKUP(A10,Structura!A12:L28,12,0)</f>
        <v>8</v>
      </c>
      <c r="F10" s="162">
        <v>19</v>
      </c>
      <c r="G10" s="163">
        <v>41</v>
      </c>
      <c r="H10" s="144">
        <v>200</v>
      </c>
      <c r="I10" s="146">
        <f t="shared" si="0"/>
        <v>6432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" thickBot="1" x14ac:dyDescent="0.35">
      <c r="A11" s="142">
        <v>8</v>
      </c>
      <c r="B11" s="143" t="s">
        <v>79</v>
      </c>
      <c r="C11" s="143" t="s">
        <v>80</v>
      </c>
      <c r="D11" s="143" t="str">
        <f>VLOOKUP(B11,Table4[[Nume]:[Post]],10,0)</f>
        <v>Deputy CEO &amp; Chief Information Officer</v>
      </c>
      <c r="E11" s="162">
        <f>VLOOKUP(A11,Structura!A13:L29,12,0)</f>
        <v>8</v>
      </c>
      <c r="F11" s="162">
        <v>20</v>
      </c>
      <c r="G11" s="163">
        <v>39</v>
      </c>
      <c r="H11" s="144">
        <v>150</v>
      </c>
      <c r="I11" s="146">
        <f t="shared" si="0"/>
        <v>6390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5" thickBot="1" x14ac:dyDescent="0.35">
      <c r="A12" s="142">
        <v>9</v>
      </c>
      <c r="B12" s="143" t="s">
        <v>81</v>
      </c>
      <c r="C12" s="143" t="s">
        <v>82</v>
      </c>
      <c r="D12" s="143" t="str">
        <f>VLOOKUP(B12,Table4[[Nume]:[Post]],10,0)</f>
        <v>Deputy CEO &amp; Head of Wholesale Banking</v>
      </c>
      <c r="E12" s="162">
        <f>VLOOKUP(A12,Structura!A14:L30,12,0)</f>
        <v>8</v>
      </c>
      <c r="F12" s="162">
        <v>21</v>
      </c>
      <c r="G12" s="163">
        <v>38</v>
      </c>
      <c r="H12" s="144">
        <v>600</v>
      </c>
      <c r="I12" s="146">
        <f t="shared" si="0"/>
        <v>6984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5" thickBot="1" x14ac:dyDescent="0.35">
      <c r="A13" s="142">
        <v>10</v>
      </c>
      <c r="B13" s="143" t="s">
        <v>87</v>
      </c>
      <c r="C13" s="143" t="s">
        <v>70</v>
      </c>
      <c r="D13" s="143" t="str">
        <f>VLOOKUP(B13,Table4[[Nume]:[Post]],10,0)</f>
        <v>Operating Officer</v>
      </c>
      <c r="E13" s="162">
        <f>VLOOKUP(A13,Structura!A15:L31,12,0)</f>
        <v>8</v>
      </c>
      <c r="F13" s="162">
        <v>21</v>
      </c>
      <c r="G13" s="163">
        <v>35</v>
      </c>
      <c r="H13" s="144">
        <v>420</v>
      </c>
      <c r="I13" s="146">
        <f t="shared" si="0"/>
        <v>6300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5" thickBot="1" x14ac:dyDescent="0.35">
      <c r="A14" s="142">
        <v>11</v>
      </c>
      <c r="B14" s="143" t="s">
        <v>88</v>
      </c>
      <c r="C14" s="143" t="s">
        <v>83</v>
      </c>
      <c r="D14" s="143" t="str">
        <f>VLOOKUP(B14,Table4[[Nume]:[Post]],10,0)</f>
        <v>Operating Officer</v>
      </c>
      <c r="E14" s="162">
        <f>VLOOKUP(A14,Structura!A16:L32,12,0)</f>
        <v>8</v>
      </c>
      <c r="F14" s="162">
        <v>20</v>
      </c>
      <c r="G14" s="163">
        <v>32</v>
      </c>
      <c r="H14" s="144">
        <v>150</v>
      </c>
      <c r="I14" s="146">
        <f t="shared" si="0"/>
        <v>5270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" thickBot="1" x14ac:dyDescent="0.35">
      <c r="A15" s="142">
        <v>12</v>
      </c>
      <c r="B15" s="143" t="s">
        <v>89</v>
      </c>
      <c r="C15" s="143" t="s">
        <v>94</v>
      </c>
      <c r="D15" s="143" t="str">
        <f>VLOOKUP(B15,Table4[[Nume]:[Post]],10,0)</f>
        <v>Relationship Manager Corporate</v>
      </c>
      <c r="E15" s="162">
        <f>VLOOKUP(A15,Structura!A17:L33,12,0)</f>
        <v>8</v>
      </c>
      <c r="F15" s="162">
        <v>18</v>
      </c>
      <c r="G15" s="163">
        <v>30</v>
      </c>
      <c r="H15" s="144">
        <v>150</v>
      </c>
      <c r="I15" s="146">
        <f t="shared" si="0"/>
        <v>4470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5" thickBot="1" x14ac:dyDescent="0.35">
      <c r="A16" s="142">
        <v>13</v>
      </c>
      <c r="B16" s="143" t="s">
        <v>90</v>
      </c>
      <c r="C16" s="143" t="s">
        <v>84</v>
      </c>
      <c r="D16" s="143" t="str">
        <f>VLOOKUP(B16,Table4[[Nume]:[Post]],10,0)</f>
        <v>Relationship Manager Corporate</v>
      </c>
      <c r="E16" s="162">
        <f>VLOOKUP(A16,Structura!A18:L34,12,0)</f>
        <v>8</v>
      </c>
      <c r="F16" s="162">
        <v>19</v>
      </c>
      <c r="G16" s="163">
        <v>33</v>
      </c>
      <c r="H16" s="144">
        <v>200</v>
      </c>
      <c r="I16" s="146">
        <f t="shared" si="0"/>
        <v>5216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5" thickBot="1" x14ac:dyDescent="0.35">
      <c r="A17" s="142">
        <v>14</v>
      </c>
      <c r="B17" s="143" t="s">
        <v>91</v>
      </c>
      <c r="C17" s="143" t="s">
        <v>95</v>
      </c>
      <c r="D17" s="143" t="str">
        <f>VLOOKUP(B17,Table4[[Nume]:[Post]],10,0)</f>
        <v>Specialist Contract Center</v>
      </c>
      <c r="E17" s="162">
        <f>VLOOKUP(A17,Structura!A19:L35,12,0)</f>
        <v>8</v>
      </c>
      <c r="F17" s="162">
        <v>21</v>
      </c>
      <c r="G17" s="163">
        <v>34</v>
      </c>
      <c r="H17" s="144">
        <v>300</v>
      </c>
      <c r="I17" s="146">
        <f t="shared" si="0"/>
        <v>6012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" thickBot="1" x14ac:dyDescent="0.35">
      <c r="A18" s="142">
        <v>15</v>
      </c>
      <c r="B18" s="143" t="s">
        <v>92</v>
      </c>
      <c r="C18" s="143" t="s">
        <v>85</v>
      </c>
      <c r="D18" s="143" t="str">
        <f>VLOOKUP(B18,Table4[[Nume]:[Post]],10,0)</f>
        <v>Specialist Contract Center</v>
      </c>
      <c r="E18" s="162">
        <f>VLOOKUP(A18,Structura!A20:L36,12,0)</f>
        <v>8</v>
      </c>
      <c r="F18" s="162">
        <v>18</v>
      </c>
      <c r="G18" s="163">
        <v>29</v>
      </c>
      <c r="H18" s="144">
        <v>205</v>
      </c>
      <c r="I18" s="146">
        <f t="shared" si="0"/>
        <v>4381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" thickBot="1" x14ac:dyDescent="0.35">
      <c r="A19" s="142">
        <v>16</v>
      </c>
      <c r="B19" s="143" t="s">
        <v>84</v>
      </c>
      <c r="C19" s="143" t="s">
        <v>96</v>
      </c>
      <c r="D19" s="143" t="str">
        <f>VLOOKUP(B19,Table4[[Nume]:[Post]],10,0)</f>
        <v>Call Center Officer</v>
      </c>
      <c r="E19" s="162">
        <f>VLOOKUP(A19,Structura!A21:L37,12,0)</f>
        <v>8</v>
      </c>
      <c r="F19" s="162">
        <v>17</v>
      </c>
      <c r="G19" s="163">
        <v>28</v>
      </c>
      <c r="H19" s="144">
        <v>200</v>
      </c>
      <c r="I19" s="146">
        <f t="shared" si="0"/>
        <v>4008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" thickBot="1" x14ac:dyDescent="0.35">
      <c r="A20" s="142">
        <v>17</v>
      </c>
      <c r="B20" s="143" t="s">
        <v>93</v>
      </c>
      <c r="C20" s="143" t="s">
        <v>86</v>
      </c>
      <c r="D20" s="143" t="str">
        <f>VLOOKUP(B20,Table4[[Nume]:[Post]],10,0)</f>
        <v>Call Center Officer</v>
      </c>
      <c r="E20" s="162">
        <f>VLOOKUP(A20,Structura!A22:L38,12,0)</f>
        <v>8</v>
      </c>
      <c r="F20" s="162">
        <v>21</v>
      </c>
      <c r="G20" s="163">
        <v>28</v>
      </c>
      <c r="H20" s="144">
        <v>150</v>
      </c>
      <c r="I20" s="146">
        <f t="shared" si="0"/>
        <v>4854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" thickBot="1" x14ac:dyDescent="0.35">
      <c r="A22" s="5"/>
      <c r="B22" s="5"/>
      <c r="C22" s="5"/>
      <c r="D22" s="5"/>
      <c r="E22" s="5"/>
      <c r="F22" s="5"/>
      <c r="G22" s="5"/>
      <c r="H22" s="14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6" thickTop="1" thickBot="1" x14ac:dyDescent="0.35">
      <c r="A23" s="356" t="s">
        <v>204</v>
      </c>
      <c r="B23" s="356"/>
      <c r="C23" s="356"/>
      <c r="D23" s="165" t="s">
        <v>92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6" thickTop="1" thickBot="1" x14ac:dyDescent="0.35">
      <c r="A24" s="356" t="s">
        <v>203</v>
      </c>
      <c r="B24" s="356"/>
      <c r="C24" s="356"/>
      <c r="D24" s="166">
        <f>VLOOKUP(D23,B4:I20,8,0)</f>
        <v>4381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6" thickTop="1" thickBot="1" x14ac:dyDescent="0.35">
      <c r="A25" s="356" t="s">
        <v>205</v>
      </c>
      <c r="B25" s="356"/>
      <c r="C25" s="356"/>
      <c r="D25" s="166">
        <f>AVERAGE(I4:I20)</f>
        <v>6319.3529411764703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.6" thickTop="1" thickBot="1" x14ac:dyDescent="0.35">
      <c r="A26" s="167" t="s">
        <v>208</v>
      </c>
      <c r="B26" s="167"/>
      <c r="C26" s="167"/>
      <c r="D26" s="165" t="str">
        <f>IF(D24&gt;D25,"Mai mare","Mai mic")</f>
        <v>Mai mic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.6" thickTop="1" thickBot="1" x14ac:dyDescent="0.35">
      <c r="A27" s="355" t="s">
        <v>206</v>
      </c>
      <c r="B27" s="355"/>
      <c r="C27" s="355"/>
      <c r="D27" s="165">
        <f>MAX(SalariuNet)</f>
        <v>11080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V27" s="5"/>
      <c r="W27" s="5"/>
    </row>
    <row r="28" spans="1:23" ht="15.6" thickTop="1" thickBot="1" x14ac:dyDescent="0.35">
      <c r="A28" s="355" t="s">
        <v>207</v>
      </c>
      <c r="B28" s="355"/>
      <c r="C28" s="355"/>
      <c r="D28" s="165">
        <f>MIN(I4:I20)</f>
        <v>4008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" thickTop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</sheetData>
  <sheetProtection sheet="1" objects="1" scenarios="1"/>
  <autoFilter ref="A3:B20"/>
  <mergeCells count="5">
    <mergeCell ref="A28:C28"/>
    <mergeCell ref="A27:C27"/>
    <mergeCell ref="A25:C25"/>
    <mergeCell ref="A24:C24"/>
    <mergeCell ref="A23:C23"/>
  </mergeCells>
  <conditionalFormatting sqref="I4:I2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{B1F2AB84-B48C-40F4-86A8-25521AB68368}</x14:id>
        </ext>
      </extLst>
    </cfRule>
  </conditionalFormatting>
  <conditionalFormatting sqref="F4:F20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G4: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23">
      <formula1>$B$4:$B$20</formula1>
    </dataValidation>
  </dataValidations>
  <hyperlinks>
    <hyperlink ref="P1" location="Acasa!A1" display="Home"/>
  </hyperlink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2AB84-B48C-40F4-86A8-25521AB68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e incorecte" error="Din pacate ati introdus un nume care difera de cel existent deja in sheetul ”Structura”, tabelul ”Angajati” sectiunea ”Nume”. Va rugam incercati inca odata" promptTitle="Atentie" prompt="Pentru completarea celulei putem sa folosim doar datele deja existante in sheetul ”Structura” din tabelul cu angajati sectiunea ”Nume”">
          <x14:formula1>
            <xm:f>Structura!$B$6:$B$22</xm:f>
          </x14:formula1>
          <xm:sqref>B5:B20</xm:sqref>
        </x14:dataValidation>
        <x14:dataValidation type="list" allowBlank="1" showInputMessage="1" showErrorMessage="1" errorTitle="Date incorecte" error="Din pacate ati introdus un nume care difera de cel existent deja in sheetul ”Structura”, tabelul ”Angajati” sectiunea ”Nume”. Va rugam incercati inca odata" promptTitle="Atentie" prompt="Pentru completarea celulei putem sa folosim doar datele deja existante in sheetul ”Structura” din tabelul cu angajati sectiunea ”Nume”">
          <x14:formula1>
            <xm:f>Structura!$B$6:$B$22</xm:f>
          </x14:formula1>
          <xm:sqref>B4</xm:sqref>
        </x14:dataValidation>
        <x14:dataValidation type="list" allowBlank="1" showInputMessage="1" showErrorMessage="1" errorTitle="Date incorecte" error="Din pacate ati introdus un prenume care difera de cel existent deja in sheetul ”Structura”, tabel ”Angajati” sectiunea ”Prenume”. Va rugam incercati inca odata." promptTitle="Atentie" prompt="Pentru completarea celulei se pot folosi doar date care sunt prezente in sheetul ”Structura”, tabel ”Angajati” sectiunea ”Prenume”">
          <x14:formula1>
            <xm:f>Structura!$C$6:$C$22</xm:f>
          </x14:formula1>
          <xm:sqref>C4:C20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68"/>
  <sheetViews>
    <sheetView zoomScaleNormal="100" workbookViewId="0">
      <selection activeCell="L1" sqref="L1"/>
    </sheetView>
  </sheetViews>
  <sheetFormatPr defaultRowHeight="14.4" outlineLevelRow="2" x14ac:dyDescent="0.3"/>
  <cols>
    <col min="1" max="1" width="25" customWidth="1"/>
    <col min="2" max="2" width="24.77734375" customWidth="1"/>
    <col min="3" max="3" width="15.88671875" customWidth="1"/>
    <col min="4" max="4" width="19.44140625" customWidth="1"/>
    <col min="5" max="5" width="19.109375" customWidth="1"/>
    <col min="6" max="6" width="18.6640625" customWidth="1"/>
  </cols>
  <sheetData>
    <row r="1" spans="1:15" ht="23.4" x14ac:dyDescent="0.45">
      <c r="A1" s="5"/>
      <c r="B1" s="5"/>
      <c r="C1" s="148" t="s">
        <v>236</v>
      </c>
      <c r="D1" s="5"/>
      <c r="E1" s="5"/>
      <c r="F1" s="5"/>
      <c r="G1" s="5"/>
      <c r="H1" s="5"/>
      <c r="I1" s="5"/>
      <c r="J1" s="5"/>
      <c r="K1" s="5"/>
      <c r="L1" s="185" t="s">
        <v>7</v>
      </c>
      <c r="M1" s="5"/>
      <c r="N1" s="5"/>
      <c r="O1" s="5"/>
    </row>
    <row r="2" spans="1:15" ht="24" thickBot="1" x14ac:dyDescent="0.5">
      <c r="A2" s="5"/>
      <c r="B2" s="5"/>
      <c r="C2" s="14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1.8" thickBot="1" x14ac:dyDescent="0.35">
      <c r="A3" s="176" t="s">
        <v>24</v>
      </c>
      <c r="B3" s="176" t="s">
        <v>25</v>
      </c>
      <c r="C3" s="176" t="s">
        <v>123</v>
      </c>
      <c r="D3" s="177" t="s">
        <v>26</v>
      </c>
      <c r="E3" s="177" t="s">
        <v>27</v>
      </c>
      <c r="F3" s="177" t="s">
        <v>41</v>
      </c>
      <c r="G3" s="5"/>
      <c r="H3" s="5"/>
      <c r="I3" s="5"/>
      <c r="J3" s="5"/>
      <c r="K3" s="5"/>
      <c r="L3" s="5"/>
      <c r="M3" s="5"/>
      <c r="N3" s="5"/>
      <c r="O3" s="5"/>
    </row>
    <row r="4" spans="1:15" ht="15" outlineLevel="2" thickBot="1" x14ac:dyDescent="0.35">
      <c r="A4" s="181" t="s">
        <v>33</v>
      </c>
      <c r="B4" s="37" t="s">
        <v>40</v>
      </c>
      <c r="C4" s="38">
        <v>20000</v>
      </c>
      <c r="D4" s="39">
        <v>42785</v>
      </c>
      <c r="E4" s="39">
        <v>45736</v>
      </c>
      <c r="F4" s="37" t="str">
        <f ca="1">IF(E4&gt;TODAY(),"In curs de achitare","Achitat")</f>
        <v>Achitat</v>
      </c>
      <c r="G4" s="5"/>
      <c r="H4" s="5"/>
      <c r="I4" s="5"/>
      <c r="J4" s="5"/>
      <c r="K4" s="5"/>
      <c r="L4" s="5"/>
      <c r="M4" s="5"/>
      <c r="N4" s="5"/>
      <c r="O4" s="5"/>
    </row>
    <row r="5" spans="1:15" ht="15" outlineLevel="2" thickBot="1" x14ac:dyDescent="0.35">
      <c r="A5" s="181" t="s">
        <v>33</v>
      </c>
      <c r="B5" s="37" t="s">
        <v>39</v>
      </c>
      <c r="C5" s="38">
        <v>6500</v>
      </c>
      <c r="D5" s="39">
        <v>43875</v>
      </c>
      <c r="E5" s="39">
        <v>44483</v>
      </c>
      <c r="F5" s="37" t="str">
        <f ca="1">IF(E5&gt;TODAY(),"In curs de achitare","Achitat")</f>
        <v>Achitat</v>
      </c>
      <c r="G5" s="5"/>
      <c r="H5" s="5"/>
      <c r="I5" s="5"/>
      <c r="J5" s="5"/>
      <c r="K5" s="5"/>
      <c r="L5" s="5"/>
      <c r="M5" s="5"/>
      <c r="N5" s="5"/>
      <c r="O5" s="5"/>
    </row>
    <row r="6" spans="1:15" ht="15" outlineLevel="1" thickBot="1" x14ac:dyDescent="0.35">
      <c r="A6" s="178" t="s">
        <v>230</v>
      </c>
      <c r="B6" s="178"/>
      <c r="C6" s="179">
        <f>SUBTOTAL(9,C4:C5)</f>
        <v>26500</v>
      </c>
      <c r="D6" s="180"/>
      <c r="E6" s="180"/>
      <c r="F6" s="178"/>
      <c r="G6" s="5"/>
      <c r="H6" s="5"/>
      <c r="I6" s="5"/>
      <c r="J6" s="5"/>
      <c r="K6" s="5"/>
      <c r="L6" s="5"/>
      <c r="M6" s="5"/>
      <c r="N6" s="5"/>
      <c r="O6" s="5"/>
    </row>
    <row r="7" spans="1:15" ht="15" outlineLevel="2" thickBot="1" x14ac:dyDescent="0.35">
      <c r="A7" s="181" t="s">
        <v>28</v>
      </c>
      <c r="B7" s="37" t="s">
        <v>37</v>
      </c>
      <c r="C7" s="38">
        <v>200000</v>
      </c>
      <c r="D7" s="39">
        <v>39428</v>
      </c>
      <c r="E7" s="39">
        <v>50386</v>
      </c>
      <c r="F7" s="37" t="str">
        <f ca="1">IF(E7&gt;TODAY(),"In curs de achitare","Achitat")</f>
        <v>In curs de achitare</v>
      </c>
      <c r="G7" s="5"/>
      <c r="H7" s="5"/>
      <c r="I7" s="5"/>
      <c r="J7" s="5"/>
      <c r="K7" s="5"/>
      <c r="L7" s="5"/>
      <c r="M7" s="5"/>
      <c r="N7" s="5"/>
      <c r="O7" s="5"/>
    </row>
    <row r="8" spans="1:15" ht="15" outlineLevel="2" thickBot="1" x14ac:dyDescent="0.35">
      <c r="A8" s="181" t="s">
        <v>28</v>
      </c>
      <c r="B8" s="37" t="s">
        <v>38</v>
      </c>
      <c r="C8" s="38">
        <v>150000</v>
      </c>
      <c r="D8" s="39">
        <v>38632</v>
      </c>
      <c r="E8" s="39">
        <v>43838</v>
      </c>
      <c r="F8" s="37" t="str">
        <f ca="1">IF(E8&gt;TODAY(),"In curs de achitare","Achitat")</f>
        <v>Achitat</v>
      </c>
      <c r="G8" s="5"/>
      <c r="H8" s="5"/>
      <c r="I8" s="5"/>
      <c r="J8" s="5"/>
      <c r="K8" s="5"/>
      <c r="L8" s="5"/>
      <c r="M8" s="5"/>
      <c r="N8" s="5"/>
      <c r="O8" s="5"/>
    </row>
    <row r="9" spans="1:15" ht="15" outlineLevel="1" thickBot="1" x14ac:dyDescent="0.35">
      <c r="A9" s="178" t="s">
        <v>224</v>
      </c>
      <c r="B9" s="178"/>
      <c r="C9" s="179">
        <f>SUBTOTAL(9,C7:C8)</f>
        <v>350000</v>
      </c>
      <c r="D9" s="180"/>
      <c r="E9" s="180"/>
      <c r="F9" s="178"/>
      <c r="G9" s="5"/>
      <c r="H9" s="5"/>
      <c r="I9" s="5"/>
      <c r="J9" s="5"/>
      <c r="K9" s="5"/>
      <c r="L9" s="5"/>
      <c r="M9" s="5"/>
      <c r="N9" s="5"/>
      <c r="O9" s="5"/>
    </row>
    <row r="10" spans="1:15" ht="15" outlineLevel="2" thickBot="1" x14ac:dyDescent="0.35">
      <c r="A10" s="181" t="s">
        <v>35</v>
      </c>
      <c r="B10" s="37" t="s">
        <v>40</v>
      </c>
      <c r="C10" s="38">
        <v>75000</v>
      </c>
      <c r="D10" s="39">
        <v>43352</v>
      </c>
      <c r="E10" s="39">
        <v>45542</v>
      </c>
      <c r="F10" s="37" t="str">
        <f ca="1">IF(E10&gt;TODAY(),"In curs de achitare","Achitat")</f>
        <v>Achitat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ht="15" outlineLevel="1" thickBot="1" x14ac:dyDescent="0.35">
      <c r="A11" s="178" t="s">
        <v>232</v>
      </c>
      <c r="B11" s="178"/>
      <c r="C11" s="179">
        <f>SUBTOTAL(9,C10:C10)</f>
        <v>75000</v>
      </c>
      <c r="D11" s="180"/>
      <c r="E11" s="180"/>
      <c r="F11" s="178"/>
      <c r="G11" s="5"/>
      <c r="H11" s="5"/>
      <c r="I11" s="5"/>
      <c r="J11" s="5"/>
      <c r="K11" s="5"/>
      <c r="L11" s="5"/>
      <c r="M11" s="5"/>
      <c r="N11" s="5"/>
      <c r="O11" s="5"/>
    </row>
    <row r="12" spans="1:15" ht="15" outlineLevel="2" thickBot="1" x14ac:dyDescent="0.35">
      <c r="A12" s="181" t="s">
        <v>30</v>
      </c>
      <c r="B12" s="37" t="s">
        <v>40</v>
      </c>
      <c r="C12" s="38">
        <v>50000</v>
      </c>
      <c r="D12" s="39">
        <v>42370</v>
      </c>
      <c r="E12" s="39">
        <v>43868</v>
      </c>
      <c r="F12" s="37" t="str">
        <f ca="1">IF(E12&gt;TODAY(),"In curs de achitare","Achitat")</f>
        <v>Achitat</v>
      </c>
      <c r="G12" s="5"/>
      <c r="H12" s="5"/>
      <c r="I12" s="5"/>
      <c r="J12" s="5"/>
      <c r="K12" s="5"/>
      <c r="L12" s="5"/>
      <c r="M12" s="5"/>
      <c r="N12" s="5"/>
      <c r="O12" s="5"/>
    </row>
    <row r="13" spans="1:15" ht="15" outlineLevel="2" thickBot="1" x14ac:dyDescent="0.35">
      <c r="A13" s="181" t="s">
        <v>30</v>
      </c>
      <c r="B13" s="37" t="s">
        <v>39</v>
      </c>
      <c r="C13" s="38">
        <v>5000</v>
      </c>
      <c r="D13" s="39">
        <v>43942</v>
      </c>
      <c r="E13" s="39">
        <v>44490</v>
      </c>
      <c r="F13" s="37" t="str">
        <f ca="1">IF(E13&gt;TODAY(),"In curs de achitare","Achitat")</f>
        <v>Achitat</v>
      </c>
      <c r="G13" s="5"/>
      <c r="H13" s="5"/>
      <c r="I13" s="5"/>
      <c r="J13" s="5"/>
      <c r="K13" s="5"/>
      <c r="L13" s="5"/>
      <c r="M13" s="5"/>
      <c r="N13" s="5"/>
      <c r="O13" s="5"/>
    </row>
    <row r="14" spans="1:15" ht="15" outlineLevel="2" thickBot="1" x14ac:dyDescent="0.35">
      <c r="A14" s="181" t="s">
        <v>30</v>
      </c>
      <c r="B14" s="37" t="s">
        <v>39</v>
      </c>
      <c r="C14" s="38">
        <v>15000</v>
      </c>
      <c r="D14" s="39">
        <v>43297</v>
      </c>
      <c r="E14" s="39">
        <v>43693</v>
      </c>
      <c r="F14" s="37" t="str">
        <f ca="1">IF(E14&gt;TODAY(),"In curs de achitare","Achitat")</f>
        <v>Achitat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 ht="15" outlineLevel="2" thickBot="1" x14ac:dyDescent="0.35">
      <c r="A15" s="181" t="s">
        <v>30</v>
      </c>
      <c r="B15" s="37" t="s">
        <v>37</v>
      </c>
      <c r="C15" s="38">
        <v>120000</v>
      </c>
      <c r="D15" s="39">
        <v>39884</v>
      </c>
      <c r="E15" s="39">
        <v>50872</v>
      </c>
      <c r="F15" s="37" t="str">
        <f ca="1">IF(E15&gt;TODAY(),"In curs de achitare","Achitat")</f>
        <v>In curs de achitare</v>
      </c>
      <c r="G15" s="5"/>
      <c r="H15" s="5"/>
      <c r="I15" s="5"/>
      <c r="J15" s="5"/>
      <c r="K15" s="5"/>
      <c r="L15" s="5"/>
      <c r="M15" s="5"/>
      <c r="N15" s="5"/>
      <c r="O15" s="5"/>
    </row>
    <row r="16" spans="1:15" ht="15" outlineLevel="1" thickBot="1" x14ac:dyDescent="0.35">
      <c r="A16" s="178" t="s">
        <v>227</v>
      </c>
      <c r="B16" s="178"/>
      <c r="C16" s="179">
        <f>SUBTOTAL(9,C12:C15)</f>
        <v>190000</v>
      </c>
      <c r="D16" s="180"/>
      <c r="E16" s="180"/>
      <c r="F16" s="178"/>
      <c r="G16" s="5"/>
      <c r="H16" s="5"/>
      <c r="I16" s="5"/>
      <c r="J16" s="5"/>
      <c r="K16" s="5"/>
      <c r="L16" s="5"/>
      <c r="M16" s="5"/>
      <c r="N16" s="5"/>
      <c r="O16" s="5"/>
    </row>
    <row r="17" spans="1:15" ht="15" outlineLevel="2" thickBot="1" x14ac:dyDescent="0.35">
      <c r="A17" s="181" t="s">
        <v>31</v>
      </c>
      <c r="B17" s="37" t="s">
        <v>38</v>
      </c>
      <c r="C17" s="38">
        <v>80000</v>
      </c>
      <c r="D17" s="39">
        <v>36558</v>
      </c>
      <c r="E17" s="39">
        <v>43628</v>
      </c>
      <c r="F17" s="37" t="str">
        <f ca="1">IF(E17&gt;TODAY(),"In curs de achitare","Achitat")</f>
        <v>Achitat</v>
      </c>
      <c r="G17" s="5"/>
      <c r="H17" s="5"/>
      <c r="I17" s="5"/>
      <c r="J17" s="5"/>
      <c r="K17" s="5"/>
      <c r="L17" s="5"/>
      <c r="M17" s="5"/>
      <c r="N17" s="5"/>
      <c r="O17" s="5"/>
    </row>
    <row r="18" spans="1:15" ht="15" outlineLevel="2" thickBot="1" x14ac:dyDescent="0.35">
      <c r="A18" s="181" t="s">
        <v>31</v>
      </c>
      <c r="B18" s="37" t="s">
        <v>37</v>
      </c>
      <c r="C18" s="38">
        <v>90000</v>
      </c>
      <c r="D18" s="39">
        <v>42796</v>
      </c>
      <c r="E18" s="39">
        <v>51323</v>
      </c>
      <c r="F18" s="37" t="str">
        <f ca="1">IF(E18&gt;TODAY(),"In curs de achitare","Achitat")</f>
        <v>In curs de achitare</v>
      </c>
      <c r="G18" s="5"/>
      <c r="H18" s="5"/>
      <c r="I18" s="5"/>
      <c r="J18" s="5"/>
      <c r="K18" s="5"/>
      <c r="L18" s="5"/>
      <c r="M18" s="5"/>
      <c r="N18" s="5"/>
      <c r="O18" s="5"/>
    </row>
    <row r="19" spans="1:15" ht="15" outlineLevel="2" thickBot="1" x14ac:dyDescent="0.35">
      <c r="A19" s="181" t="s">
        <v>31</v>
      </c>
      <c r="B19" s="37" t="s">
        <v>39</v>
      </c>
      <c r="C19" s="38">
        <v>10000</v>
      </c>
      <c r="D19" s="39">
        <v>42042</v>
      </c>
      <c r="E19" s="39">
        <v>42407</v>
      </c>
      <c r="F19" s="37" t="str">
        <f ca="1">IF(E19&gt;TODAY(),"In curs de achitare","Achitat")</f>
        <v>Achitat</v>
      </c>
      <c r="G19" s="5"/>
      <c r="H19" s="5"/>
      <c r="I19" s="5"/>
      <c r="J19" s="5"/>
      <c r="K19" s="5"/>
      <c r="L19" s="5"/>
      <c r="M19" s="5"/>
      <c r="N19" s="5"/>
      <c r="O19" s="5"/>
    </row>
    <row r="20" spans="1:15" ht="15" outlineLevel="1" thickBot="1" x14ac:dyDescent="0.35">
      <c r="A20" s="178" t="s">
        <v>228</v>
      </c>
      <c r="B20" s="178"/>
      <c r="C20" s="179">
        <f>SUBTOTAL(9,C17:C19)</f>
        <v>180000</v>
      </c>
      <c r="D20" s="180"/>
      <c r="E20" s="180"/>
      <c r="F20" s="178"/>
      <c r="G20" s="5"/>
      <c r="H20" s="5"/>
      <c r="I20" s="5"/>
      <c r="J20" s="5"/>
      <c r="K20" s="5"/>
      <c r="L20" s="5"/>
      <c r="M20" s="5"/>
      <c r="N20" s="5"/>
      <c r="O20" s="5"/>
    </row>
    <row r="21" spans="1:15" ht="15" outlineLevel="2" thickBot="1" x14ac:dyDescent="0.35">
      <c r="A21" s="181" t="s">
        <v>36</v>
      </c>
      <c r="B21" s="37" t="s">
        <v>40</v>
      </c>
      <c r="C21" s="38">
        <v>20000</v>
      </c>
      <c r="D21" s="39">
        <v>42737</v>
      </c>
      <c r="E21" s="39">
        <v>44257</v>
      </c>
      <c r="F21" s="37" t="str">
        <f ca="1">IF(E21&gt;TODAY(),"In curs de achitare","Achitat")</f>
        <v>Achitat</v>
      </c>
      <c r="G21" s="5"/>
      <c r="H21" s="5"/>
      <c r="I21" s="5"/>
      <c r="J21" s="5"/>
      <c r="K21" s="5"/>
      <c r="L21" s="5"/>
      <c r="M21" s="5"/>
      <c r="N21" s="5"/>
      <c r="O21" s="5"/>
    </row>
    <row r="22" spans="1:15" ht="15" outlineLevel="1" thickBot="1" x14ac:dyDescent="0.35">
      <c r="A22" s="178" t="s">
        <v>234</v>
      </c>
      <c r="B22" s="178"/>
      <c r="C22" s="179">
        <f>SUBTOTAL(9,C21:C21)</f>
        <v>20000</v>
      </c>
      <c r="D22" s="180"/>
      <c r="E22" s="180"/>
      <c r="F22" s="178"/>
      <c r="G22" s="5"/>
      <c r="H22" s="5"/>
      <c r="I22" s="5"/>
      <c r="J22" s="5"/>
      <c r="K22" s="5"/>
      <c r="L22" s="5"/>
      <c r="M22" s="5"/>
      <c r="N22" s="5"/>
      <c r="O22" s="5"/>
    </row>
    <row r="23" spans="1:15" ht="15" outlineLevel="2" thickBot="1" x14ac:dyDescent="0.35">
      <c r="A23" s="181" t="s">
        <v>32</v>
      </c>
      <c r="B23" s="37" t="s">
        <v>39</v>
      </c>
      <c r="C23" s="38">
        <v>10000</v>
      </c>
      <c r="D23" s="39">
        <v>43819</v>
      </c>
      <c r="E23" s="39">
        <v>44185</v>
      </c>
      <c r="F23" s="37" t="str">
        <f ca="1">IF(E23&gt;TODAY(),"In curs de achitare","Achitat")</f>
        <v>Achitat</v>
      </c>
      <c r="G23" s="5"/>
      <c r="H23" s="5"/>
      <c r="I23" s="5"/>
      <c r="J23" s="5"/>
      <c r="K23" s="5"/>
      <c r="L23" s="5"/>
      <c r="M23" s="5"/>
      <c r="N23" s="5"/>
      <c r="O23" s="5"/>
    </row>
    <row r="24" spans="1:15" ht="15" outlineLevel="2" thickBot="1" x14ac:dyDescent="0.35">
      <c r="A24" s="181" t="s">
        <v>32</v>
      </c>
      <c r="B24" s="37" t="s">
        <v>38</v>
      </c>
      <c r="C24" s="38">
        <v>90000</v>
      </c>
      <c r="D24" s="39">
        <v>40395</v>
      </c>
      <c r="E24" s="39">
        <v>49432</v>
      </c>
      <c r="F24" s="37" t="str">
        <f ca="1">IF(E24&gt;TODAY(),"In curs de achitare","Achitat")</f>
        <v>In curs de achitare</v>
      </c>
      <c r="G24" s="5"/>
      <c r="H24" s="5"/>
      <c r="I24" s="5"/>
      <c r="J24" s="5"/>
      <c r="K24" s="5"/>
      <c r="L24" s="5"/>
      <c r="M24" s="5"/>
      <c r="N24" s="5"/>
      <c r="O24" s="5"/>
    </row>
    <row r="25" spans="1:15" ht="15" outlineLevel="1" thickBot="1" x14ac:dyDescent="0.35">
      <c r="A25" s="178" t="s">
        <v>229</v>
      </c>
      <c r="B25" s="178"/>
      <c r="C25" s="179">
        <f>SUBTOTAL(9,C23:C24)</f>
        <v>100000</v>
      </c>
      <c r="D25" s="180"/>
      <c r="E25" s="180"/>
      <c r="F25" s="178"/>
      <c r="G25" s="5"/>
      <c r="H25" s="5"/>
      <c r="I25" s="5"/>
      <c r="J25" s="5"/>
      <c r="K25" s="5"/>
      <c r="L25" s="5"/>
      <c r="M25" s="5"/>
      <c r="N25" s="5"/>
      <c r="O25" s="5"/>
    </row>
    <row r="26" spans="1:15" ht="15" outlineLevel="2" thickBot="1" x14ac:dyDescent="0.35">
      <c r="A26" s="181" t="s">
        <v>29</v>
      </c>
      <c r="B26" s="37" t="s">
        <v>40</v>
      </c>
      <c r="C26" s="38">
        <v>35000</v>
      </c>
      <c r="D26" s="39">
        <v>41461</v>
      </c>
      <c r="E26" s="39">
        <v>43711</v>
      </c>
      <c r="F26" s="37" t="str">
        <f ca="1">IF(E26&gt;TODAY(),"In curs de achitare","Achitat")</f>
        <v>Achitat</v>
      </c>
      <c r="G26" s="5"/>
      <c r="H26" s="5"/>
      <c r="I26" s="5"/>
      <c r="J26" s="5"/>
      <c r="K26" s="5"/>
      <c r="L26" s="5"/>
      <c r="M26" s="5"/>
      <c r="N26" s="5"/>
      <c r="O26" s="5"/>
    </row>
    <row r="27" spans="1:15" ht="15" outlineLevel="2" thickBot="1" x14ac:dyDescent="0.35">
      <c r="A27" s="181" t="s">
        <v>29</v>
      </c>
      <c r="B27" s="37" t="s">
        <v>40</v>
      </c>
      <c r="C27" s="38">
        <v>75000</v>
      </c>
      <c r="D27" s="39">
        <v>41162</v>
      </c>
      <c r="E27" s="39">
        <v>43089</v>
      </c>
      <c r="F27" s="37" t="str">
        <f ca="1">IF(E27&gt;TODAY(),"In curs de achitare","Achitat")</f>
        <v>Achitat</v>
      </c>
      <c r="G27" s="5"/>
      <c r="H27" s="5"/>
      <c r="I27" s="5"/>
      <c r="J27" s="5"/>
      <c r="K27" s="5"/>
      <c r="L27" s="5"/>
      <c r="M27" s="5"/>
      <c r="N27" s="5"/>
      <c r="O27" s="5"/>
    </row>
    <row r="28" spans="1:15" ht="15" outlineLevel="2" thickBot="1" x14ac:dyDescent="0.35">
      <c r="A28" s="181" t="s">
        <v>29</v>
      </c>
      <c r="B28" s="37" t="s">
        <v>39</v>
      </c>
      <c r="C28" s="38">
        <v>7500</v>
      </c>
      <c r="D28" s="39">
        <v>41011</v>
      </c>
      <c r="E28" s="39">
        <v>41376</v>
      </c>
      <c r="F28" s="37" t="str">
        <f ca="1">IF(E28&gt;TODAY(),"In curs de achitare","Achitat")</f>
        <v>Achitat</v>
      </c>
      <c r="G28" s="5"/>
      <c r="H28" s="5"/>
      <c r="I28" s="5"/>
      <c r="J28" s="5"/>
      <c r="K28" s="5"/>
      <c r="L28" s="5"/>
      <c r="M28" s="5"/>
      <c r="N28" s="5"/>
      <c r="O28" s="5"/>
    </row>
    <row r="29" spans="1:15" ht="15" outlineLevel="1" thickBot="1" x14ac:dyDescent="0.35">
      <c r="A29" s="178" t="s">
        <v>226</v>
      </c>
      <c r="B29" s="178"/>
      <c r="C29" s="179">
        <f>SUBTOTAL(9,C26:C28)</f>
        <v>117500</v>
      </c>
      <c r="D29" s="180"/>
      <c r="E29" s="180"/>
      <c r="F29" s="178"/>
      <c r="G29" s="5"/>
      <c r="H29" s="5"/>
      <c r="I29" s="5"/>
      <c r="J29" s="5"/>
      <c r="K29" s="5"/>
      <c r="L29" s="5"/>
      <c r="M29" s="5"/>
      <c r="N29" s="5"/>
      <c r="O29" s="5"/>
    </row>
    <row r="30" spans="1:15" ht="15" outlineLevel="2" thickBot="1" x14ac:dyDescent="0.35">
      <c r="A30" s="181" t="s">
        <v>34</v>
      </c>
      <c r="B30" s="37" t="s">
        <v>40</v>
      </c>
      <c r="C30" s="38">
        <v>45000</v>
      </c>
      <c r="D30" s="39">
        <v>42262</v>
      </c>
      <c r="E30" s="39">
        <v>44088</v>
      </c>
      <c r="F30" s="37" t="str">
        <f ca="1">IF(E30&gt;TODAY(),"In curs de achitare","Achitat")</f>
        <v>Achitat</v>
      </c>
      <c r="G30" s="5"/>
      <c r="H30" s="5"/>
      <c r="I30" s="5"/>
      <c r="J30" s="5"/>
      <c r="K30" s="5"/>
      <c r="L30" s="5"/>
      <c r="M30" s="5"/>
      <c r="N30" s="5"/>
      <c r="O30" s="5"/>
    </row>
    <row r="31" spans="1:15" ht="15" outlineLevel="2" thickBot="1" x14ac:dyDescent="0.35">
      <c r="A31" s="181" t="s">
        <v>34</v>
      </c>
      <c r="B31" s="37" t="s">
        <v>37</v>
      </c>
      <c r="C31" s="38">
        <v>80000</v>
      </c>
      <c r="D31" s="39">
        <v>36819</v>
      </c>
      <c r="E31" s="39">
        <v>45702</v>
      </c>
      <c r="F31" s="37" t="str">
        <f ca="1">IF(E31&gt;TODAY(),"In curs de achitare","Achitat")</f>
        <v>Achitat</v>
      </c>
      <c r="G31" s="5"/>
      <c r="H31" s="5"/>
      <c r="I31" s="5"/>
      <c r="J31" s="5"/>
      <c r="K31" s="5"/>
      <c r="L31" s="5"/>
      <c r="M31" s="5"/>
      <c r="N31" s="5"/>
      <c r="O31" s="5"/>
    </row>
    <row r="32" spans="1:15" ht="15" outlineLevel="1" thickBot="1" x14ac:dyDescent="0.35">
      <c r="A32" s="178" t="s">
        <v>231</v>
      </c>
      <c r="B32" s="178"/>
      <c r="C32" s="179">
        <f>SUBTOTAL(9,C30:C31)</f>
        <v>125000</v>
      </c>
      <c r="D32" s="180"/>
      <c r="E32" s="180"/>
      <c r="F32" s="178"/>
      <c r="G32" s="5"/>
      <c r="H32" s="5"/>
      <c r="I32" s="5"/>
      <c r="J32" s="5"/>
      <c r="K32" s="5"/>
      <c r="L32" s="5"/>
      <c r="M32" s="5"/>
      <c r="N32" s="5"/>
      <c r="O32" s="5"/>
    </row>
    <row r="33" spans="1:15" ht="15" outlineLevel="2" thickBot="1" x14ac:dyDescent="0.35">
      <c r="A33" s="181" t="s">
        <v>52</v>
      </c>
      <c r="B33" s="37" t="s">
        <v>39</v>
      </c>
      <c r="C33" s="38">
        <v>15000</v>
      </c>
      <c r="D33" s="39">
        <v>43203</v>
      </c>
      <c r="E33" s="39">
        <v>43966</v>
      </c>
      <c r="F33" s="37" t="str">
        <f ca="1">IF(E33&gt;TODAY(),"In curs de achitare","Achitat")</f>
        <v>Achitat</v>
      </c>
      <c r="G33" s="5"/>
      <c r="H33" s="5"/>
      <c r="I33" s="5"/>
      <c r="J33" s="5"/>
      <c r="K33" s="5"/>
      <c r="L33" s="5"/>
      <c r="M33" s="5"/>
      <c r="N33" s="5"/>
      <c r="O33" s="5"/>
    </row>
    <row r="34" spans="1:15" ht="15" outlineLevel="2" thickBot="1" x14ac:dyDescent="0.35">
      <c r="A34" s="181" t="s">
        <v>52</v>
      </c>
      <c r="B34" s="37" t="s">
        <v>37</v>
      </c>
      <c r="C34" s="38">
        <v>250000</v>
      </c>
      <c r="D34" s="39">
        <v>43898</v>
      </c>
      <c r="E34" s="39">
        <v>51419</v>
      </c>
      <c r="F34" s="37" t="str">
        <f ca="1">IF(E34&gt;TODAY(),"In curs de achitare","Achitat")</f>
        <v>In curs de achitare</v>
      </c>
      <c r="G34" s="5"/>
      <c r="H34" s="5"/>
      <c r="I34" s="5"/>
      <c r="J34" s="5"/>
      <c r="K34" s="5"/>
      <c r="L34" s="5"/>
      <c r="M34" s="5"/>
      <c r="N34" s="5"/>
      <c r="O34" s="5"/>
    </row>
    <row r="35" spans="1:15" ht="15" outlineLevel="1" thickBot="1" x14ac:dyDescent="0.35">
      <c r="A35" s="178" t="s">
        <v>225</v>
      </c>
      <c r="B35" s="178"/>
      <c r="C35" s="179">
        <f>SUBTOTAL(9,C33:C34)</f>
        <v>265000</v>
      </c>
      <c r="D35" s="180"/>
      <c r="E35" s="180"/>
      <c r="F35" s="178"/>
      <c r="G35" s="5"/>
      <c r="H35" s="5"/>
      <c r="I35" s="5"/>
      <c r="J35" s="5"/>
      <c r="K35" s="5"/>
      <c r="L35" s="5"/>
      <c r="M35" s="5"/>
      <c r="N35" s="5"/>
      <c r="O35" s="5"/>
    </row>
    <row r="36" spans="1:15" ht="15" outlineLevel="2" thickBot="1" x14ac:dyDescent="0.35">
      <c r="A36" s="181" t="s">
        <v>53</v>
      </c>
      <c r="B36" s="37" t="s">
        <v>39</v>
      </c>
      <c r="C36" s="38">
        <v>12000</v>
      </c>
      <c r="D36" s="39">
        <v>44124</v>
      </c>
      <c r="E36" s="39">
        <v>44489</v>
      </c>
      <c r="F36" s="37" t="str">
        <f ca="1">IF(E36&gt;TODAY(),"In curs de achitare","Achitat")</f>
        <v>Achitat</v>
      </c>
      <c r="G36" s="5"/>
      <c r="H36" s="5"/>
      <c r="I36" s="5"/>
      <c r="J36" s="5"/>
      <c r="K36" s="5"/>
      <c r="L36" s="5"/>
      <c r="M36" s="5"/>
      <c r="N36" s="5"/>
      <c r="O36" s="5"/>
    </row>
    <row r="37" spans="1:15" ht="15" outlineLevel="1" thickBot="1" x14ac:dyDescent="0.35">
      <c r="A37" s="178" t="s">
        <v>233</v>
      </c>
      <c r="B37" s="178"/>
      <c r="C37" s="179">
        <f>SUBTOTAL(9,C36:C36)</f>
        <v>12000</v>
      </c>
      <c r="D37" s="180"/>
      <c r="E37" s="180"/>
      <c r="F37" s="178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3">
      <c r="A38" s="182" t="s">
        <v>235</v>
      </c>
      <c r="B38" s="182"/>
      <c r="C38" s="183">
        <f>SUBTOTAL(9,C4:C36)</f>
        <v>1461000</v>
      </c>
      <c r="D38" s="184"/>
      <c r="E38" s="184"/>
      <c r="F38" s="182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</sheetData>
  <sheetProtection sheet="1" objects="1" scenarios="1"/>
  <sortState ref="A2:F24">
    <sortCondition ref="A2:A24"/>
  </sortState>
  <conditionalFormatting sqref="F4:F38">
    <cfRule type="containsText" dxfId="0" priority="2" operator="containsText" text="Achitat">
      <formula>NOT(ISERROR(SEARCH("Achitat",F4)))</formula>
    </cfRule>
  </conditionalFormatting>
  <hyperlinks>
    <hyperlink ref="L1" location="Acasa!A1" display="Hom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X40"/>
  <sheetViews>
    <sheetView zoomScaleNormal="100" workbookViewId="0">
      <selection activeCell="N21" sqref="N21"/>
    </sheetView>
  </sheetViews>
  <sheetFormatPr defaultRowHeight="14.4" x14ac:dyDescent="0.3"/>
  <cols>
    <col min="1" max="1" width="11.109375" bestFit="1" customWidth="1"/>
    <col min="2" max="2" width="13.77734375" customWidth="1"/>
    <col min="3" max="3" width="14.109375" customWidth="1"/>
    <col min="4" max="4" width="27.109375" customWidth="1"/>
    <col min="5" max="5" width="10" customWidth="1"/>
    <col min="6" max="6" width="28" customWidth="1"/>
    <col min="7" max="7" width="22" customWidth="1"/>
    <col min="8" max="8" width="15.109375" customWidth="1"/>
    <col min="9" max="9" width="18.44140625" customWidth="1"/>
    <col min="10" max="10" width="18.77734375" customWidth="1"/>
    <col min="11" max="11" width="5.5546875" customWidth="1"/>
    <col min="12" max="12" width="18" bestFit="1" customWidth="1"/>
    <col min="13" max="13" width="14.109375" customWidth="1"/>
    <col min="14" max="14" width="9.5546875" customWidth="1"/>
  </cols>
  <sheetData>
    <row r="1" spans="1:24" ht="23.4" x14ac:dyDescent="0.45">
      <c r="A1" s="186"/>
      <c r="B1" s="186"/>
      <c r="C1" s="186"/>
      <c r="D1" s="186"/>
      <c r="E1" s="186"/>
      <c r="F1" s="196" t="s">
        <v>237</v>
      </c>
      <c r="G1" s="186"/>
      <c r="H1" s="187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</row>
    <row r="2" spans="1:24" ht="24" thickBot="1" x14ac:dyDescent="0.5">
      <c r="A2" s="186"/>
      <c r="B2" s="186"/>
      <c r="C2" s="186"/>
      <c r="D2" s="186"/>
      <c r="E2" s="186"/>
      <c r="F2" s="186"/>
      <c r="G2" s="186"/>
      <c r="H2" s="187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4" s="191" customFormat="1" ht="15" thickBot="1" x14ac:dyDescent="0.35">
      <c r="A3" s="189" t="s">
        <v>238</v>
      </c>
      <c r="B3" s="189" t="s">
        <v>239</v>
      </c>
      <c r="C3" s="192" t="s">
        <v>240</v>
      </c>
      <c r="D3" s="189" t="s">
        <v>241</v>
      </c>
      <c r="E3" s="189" t="s">
        <v>242</v>
      </c>
      <c r="F3" s="189" t="s">
        <v>243</v>
      </c>
      <c r="G3" s="189" t="s">
        <v>244</v>
      </c>
      <c r="H3" s="189" t="s">
        <v>245</v>
      </c>
      <c r="I3" s="189" t="s">
        <v>357</v>
      </c>
      <c r="J3" s="189" t="s">
        <v>26</v>
      </c>
      <c r="K3" s="189" t="s">
        <v>246</v>
      </c>
      <c r="L3" s="189" t="s">
        <v>24</v>
      </c>
      <c r="M3" s="189" t="s">
        <v>247</v>
      </c>
      <c r="N3" s="189" t="s">
        <v>339</v>
      </c>
      <c r="O3" s="190"/>
      <c r="P3" s="190"/>
      <c r="Q3" s="190"/>
      <c r="R3" s="190"/>
      <c r="S3" s="190"/>
      <c r="T3" s="190"/>
      <c r="U3" s="190"/>
      <c r="V3" s="190"/>
      <c r="W3" s="190"/>
      <c r="X3" s="190"/>
    </row>
    <row r="4" spans="1:24" ht="15" thickBot="1" x14ac:dyDescent="0.35">
      <c r="A4" s="188" t="s">
        <v>248</v>
      </c>
      <c r="B4" s="188" t="s">
        <v>249</v>
      </c>
      <c r="C4" s="193" t="s">
        <v>250</v>
      </c>
      <c r="D4" s="188" t="s">
        <v>251</v>
      </c>
      <c r="E4" s="188">
        <v>751793004</v>
      </c>
      <c r="F4" s="188" t="s">
        <v>252</v>
      </c>
      <c r="G4" s="188" t="s">
        <v>37</v>
      </c>
      <c r="H4" s="188">
        <v>30</v>
      </c>
      <c r="I4" s="209">
        <v>200000</v>
      </c>
      <c r="J4" s="194">
        <v>39428</v>
      </c>
      <c r="K4" s="195">
        <v>0.53263888888888888</v>
      </c>
      <c r="L4" s="188" t="s">
        <v>28</v>
      </c>
      <c r="M4" s="188" t="s">
        <v>253</v>
      </c>
      <c r="N4" s="188" t="s">
        <v>340</v>
      </c>
      <c r="O4" s="186"/>
      <c r="P4" s="186"/>
      <c r="Q4" s="186"/>
      <c r="R4" s="186"/>
      <c r="S4" s="186"/>
      <c r="T4" s="186"/>
      <c r="U4" s="186"/>
      <c r="V4" s="186"/>
      <c r="W4" s="186"/>
      <c r="X4" s="186"/>
    </row>
    <row r="5" spans="1:24" ht="15" thickBot="1" x14ac:dyDescent="0.35">
      <c r="A5" s="188" t="s">
        <v>93</v>
      </c>
      <c r="B5" s="188" t="s">
        <v>86</v>
      </c>
      <c r="C5" s="193" t="s">
        <v>254</v>
      </c>
      <c r="D5" s="188" t="s">
        <v>255</v>
      </c>
      <c r="E5" s="188">
        <v>763704432</v>
      </c>
      <c r="F5" s="188" t="s">
        <v>256</v>
      </c>
      <c r="G5" s="188" t="s">
        <v>38</v>
      </c>
      <c r="H5" s="188">
        <v>14</v>
      </c>
      <c r="I5" s="209">
        <v>150000</v>
      </c>
      <c r="J5" s="194">
        <v>38632</v>
      </c>
      <c r="K5" s="195">
        <v>0.65277777777777779</v>
      </c>
      <c r="L5" s="188" t="s">
        <v>28</v>
      </c>
      <c r="M5" s="188" t="s">
        <v>257</v>
      </c>
      <c r="N5" s="188" t="s">
        <v>341</v>
      </c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 ht="15" thickBot="1" x14ac:dyDescent="0.35">
      <c r="A6" s="188" t="s">
        <v>258</v>
      </c>
      <c r="B6" s="188" t="s">
        <v>259</v>
      </c>
      <c r="C6" s="193" t="s">
        <v>260</v>
      </c>
      <c r="D6" s="188" t="s">
        <v>261</v>
      </c>
      <c r="E6" s="188">
        <v>754704232</v>
      </c>
      <c r="F6" s="188" t="s">
        <v>262</v>
      </c>
      <c r="G6" s="188" t="s">
        <v>263</v>
      </c>
      <c r="H6" s="188">
        <v>2</v>
      </c>
      <c r="I6" s="209">
        <v>15000</v>
      </c>
      <c r="J6" s="194">
        <v>43203</v>
      </c>
      <c r="K6" s="195">
        <v>0.48541666666666666</v>
      </c>
      <c r="L6" s="188" t="s">
        <v>52</v>
      </c>
      <c r="M6" s="188" t="s">
        <v>264</v>
      </c>
      <c r="N6" s="188" t="s">
        <v>342</v>
      </c>
      <c r="O6" s="186"/>
      <c r="P6" s="186"/>
      <c r="Q6" s="186"/>
      <c r="R6" s="186"/>
      <c r="S6" s="186"/>
      <c r="T6" s="186"/>
      <c r="U6" s="186"/>
      <c r="V6" s="186"/>
      <c r="W6" s="186"/>
      <c r="X6" s="186"/>
    </row>
    <row r="7" spans="1:24" ht="15" thickBot="1" x14ac:dyDescent="0.35">
      <c r="A7" s="188" t="s">
        <v>265</v>
      </c>
      <c r="B7" s="188" t="s">
        <v>266</v>
      </c>
      <c r="C7" s="193" t="s">
        <v>267</v>
      </c>
      <c r="D7" s="188" t="s">
        <v>268</v>
      </c>
      <c r="E7" s="188">
        <v>732753622</v>
      </c>
      <c r="F7" s="188" t="s">
        <v>269</v>
      </c>
      <c r="G7" s="188" t="s">
        <v>40</v>
      </c>
      <c r="H7" s="188">
        <v>6</v>
      </c>
      <c r="I7" s="209">
        <v>35000</v>
      </c>
      <c r="J7" s="194">
        <v>41461</v>
      </c>
      <c r="K7" s="195">
        <v>0.63888888888888895</v>
      </c>
      <c r="L7" s="188" t="s">
        <v>29</v>
      </c>
      <c r="M7" s="188" t="s">
        <v>257</v>
      </c>
      <c r="N7" s="188" t="s">
        <v>343</v>
      </c>
      <c r="O7" s="186"/>
      <c r="P7" s="186"/>
      <c r="Q7" s="186"/>
      <c r="R7" s="186"/>
      <c r="S7" s="186"/>
      <c r="T7" s="186"/>
      <c r="U7" s="186"/>
      <c r="V7" s="186"/>
      <c r="W7" s="186"/>
      <c r="X7" s="186"/>
    </row>
    <row r="8" spans="1:24" ht="15" thickBot="1" x14ac:dyDescent="0.35">
      <c r="A8" s="188" t="s">
        <v>270</v>
      </c>
      <c r="B8" s="188" t="s">
        <v>271</v>
      </c>
      <c r="C8" s="193" t="s">
        <v>272</v>
      </c>
      <c r="D8" s="188" t="s">
        <v>273</v>
      </c>
      <c r="E8" s="188">
        <v>721343552</v>
      </c>
      <c r="F8" s="188" t="s">
        <v>274</v>
      </c>
      <c r="G8" s="188" t="s">
        <v>40</v>
      </c>
      <c r="H8" s="188">
        <v>4</v>
      </c>
      <c r="I8" s="209">
        <v>50000</v>
      </c>
      <c r="J8" s="194">
        <v>42370</v>
      </c>
      <c r="K8" s="195">
        <v>0.39097222222222222</v>
      </c>
      <c r="L8" s="188" t="s">
        <v>30</v>
      </c>
      <c r="M8" s="188" t="s">
        <v>257</v>
      </c>
      <c r="N8" s="188" t="s">
        <v>344</v>
      </c>
      <c r="O8" s="186"/>
      <c r="P8" s="186"/>
      <c r="Q8" s="186"/>
      <c r="R8" s="186"/>
      <c r="S8" s="186"/>
      <c r="T8" s="186"/>
      <c r="U8" s="186"/>
      <c r="V8" s="186"/>
      <c r="W8" s="186"/>
      <c r="X8" s="186"/>
    </row>
    <row r="9" spans="1:24" ht="15" thickBot="1" x14ac:dyDescent="0.35">
      <c r="A9" s="188" t="s">
        <v>281</v>
      </c>
      <c r="B9" s="188" t="s">
        <v>83</v>
      </c>
      <c r="C9" s="193" t="s">
        <v>282</v>
      </c>
      <c r="D9" s="188" t="s">
        <v>283</v>
      </c>
      <c r="E9" s="188">
        <v>751793039</v>
      </c>
      <c r="F9" s="188" t="s">
        <v>284</v>
      </c>
      <c r="G9" s="188" t="s">
        <v>37</v>
      </c>
      <c r="H9" s="188">
        <v>20</v>
      </c>
      <c r="I9" s="209">
        <v>250000</v>
      </c>
      <c r="J9" s="194">
        <v>43898</v>
      </c>
      <c r="K9" s="195">
        <v>0.46111111111111108</v>
      </c>
      <c r="L9" s="188" t="s">
        <v>52</v>
      </c>
      <c r="M9" s="188" t="s">
        <v>257</v>
      </c>
      <c r="N9" s="188" t="s">
        <v>346</v>
      </c>
      <c r="O9" s="186"/>
      <c r="P9" s="186"/>
      <c r="Q9" s="186"/>
      <c r="R9" s="186"/>
      <c r="S9" s="186"/>
      <c r="T9" s="186"/>
      <c r="U9" s="186"/>
      <c r="V9" s="186"/>
      <c r="W9" s="186"/>
      <c r="X9" s="186"/>
    </row>
    <row r="10" spans="1:24" ht="15" thickBot="1" x14ac:dyDescent="0.35">
      <c r="A10" s="188" t="s">
        <v>275</v>
      </c>
      <c r="B10" s="188" t="s">
        <v>276</v>
      </c>
      <c r="C10" s="193" t="s">
        <v>277</v>
      </c>
      <c r="D10" s="188" t="s">
        <v>278</v>
      </c>
      <c r="E10" s="188">
        <v>751794432</v>
      </c>
      <c r="F10" s="188" t="s">
        <v>279</v>
      </c>
      <c r="G10" s="188" t="s">
        <v>280</v>
      </c>
      <c r="H10" s="188">
        <v>19</v>
      </c>
      <c r="I10" s="209">
        <v>80000</v>
      </c>
      <c r="J10" s="194">
        <v>36558</v>
      </c>
      <c r="K10" s="195">
        <v>0.44930555555555557</v>
      </c>
      <c r="L10" s="188" t="s">
        <v>31</v>
      </c>
      <c r="M10" s="188" t="s">
        <v>257</v>
      </c>
      <c r="N10" s="188" t="s">
        <v>345</v>
      </c>
      <c r="O10" s="186"/>
      <c r="P10" s="186"/>
      <c r="Q10" s="186"/>
      <c r="R10" s="186"/>
      <c r="S10" s="186"/>
      <c r="T10" s="186"/>
      <c r="U10" s="186"/>
      <c r="V10" s="186"/>
      <c r="W10" s="186"/>
      <c r="X10" s="186"/>
    </row>
    <row r="11" spans="1:24" ht="15" thickBot="1" x14ac:dyDescent="0.35">
      <c r="A11" s="188" t="s">
        <v>281</v>
      </c>
      <c r="B11" s="188" t="s">
        <v>83</v>
      </c>
      <c r="C11" s="193" t="s">
        <v>282</v>
      </c>
      <c r="D11" s="188" t="s">
        <v>283</v>
      </c>
      <c r="E11" s="188">
        <v>751793039</v>
      </c>
      <c r="F11" s="188" t="s">
        <v>284</v>
      </c>
      <c r="G11" s="188" t="s">
        <v>263</v>
      </c>
      <c r="H11" s="188">
        <v>1</v>
      </c>
      <c r="I11" s="209">
        <v>10000</v>
      </c>
      <c r="J11" s="194">
        <v>43819</v>
      </c>
      <c r="K11" s="195">
        <v>0.36805555555555558</v>
      </c>
      <c r="L11" s="188" t="s">
        <v>32</v>
      </c>
      <c r="M11" s="188" t="s">
        <v>257</v>
      </c>
      <c r="N11" s="188" t="s">
        <v>346</v>
      </c>
      <c r="O11" s="186"/>
      <c r="P11" s="186"/>
      <c r="Q11" s="186"/>
      <c r="R11" s="186"/>
      <c r="S11" s="186"/>
      <c r="T11" s="186"/>
      <c r="U11" s="186"/>
      <c r="V11" s="186"/>
      <c r="W11" s="186"/>
      <c r="X11" s="186"/>
    </row>
    <row r="12" spans="1:24" ht="15" thickBot="1" x14ac:dyDescent="0.35">
      <c r="A12" s="188" t="s">
        <v>266</v>
      </c>
      <c r="B12" s="188" t="s">
        <v>285</v>
      </c>
      <c r="C12" s="193" t="s">
        <v>286</v>
      </c>
      <c r="D12" s="188" t="s">
        <v>287</v>
      </c>
      <c r="E12" s="188">
        <v>753703032</v>
      </c>
      <c r="F12" s="188" t="s">
        <v>288</v>
      </c>
      <c r="G12" s="188" t="s">
        <v>40</v>
      </c>
      <c r="H12" s="188">
        <v>8</v>
      </c>
      <c r="I12" s="209">
        <v>20000</v>
      </c>
      <c r="J12" s="194">
        <v>42785</v>
      </c>
      <c r="K12" s="195">
        <v>0.53472222222222221</v>
      </c>
      <c r="L12" s="188" t="s">
        <v>33</v>
      </c>
      <c r="M12" s="188" t="s">
        <v>253</v>
      </c>
      <c r="N12" s="188" t="s">
        <v>347</v>
      </c>
      <c r="O12" s="186"/>
      <c r="P12" s="186"/>
      <c r="Q12" s="186"/>
      <c r="R12" s="186"/>
      <c r="S12" s="186"/>
      <c r="T12" s="186"/>
      <c r="U12" s="186"/>
      <c r="V12" s="186"/>
      <c r="W12" s="186"/>
      <c r="X12" s="186"/>
    </row>
    <row r="13" spans="1:24" ht="15" thickBot="1" x14ac:dyDescent="0.35">
      <c r="A13" s="188" t="s">
        <v>91</v>
      </c>
      <c r="B13" s="188" t="s">
        <v>289</v>
      </c>
      <c r="C13" s="193" t="s">
        <v>290</v>
      </c>
      <c r="D13" s="188" t="s">
        <v>291</v>
      </c>
      <c r="E13" s="188">
        <v>751733422</v>
      </c>
      <c r="F13" s="188" t="s">
        <v>292</v>
      </c>
      <c r="G13" s="188" t="s">
        <v>40</v>
      </c>
      <c r="H13" s="188">
        <v>4</v>
      </c>
      <c r="I13" s="209">
        <v>45000</v>
      </c>
      <c r="J13" s="194">
        <v>42262</v>
      </c>
      <c r="K13" s="195">
        <v>0.57291666666666663</v>
      </c>
      <c r="L13" s="188" t="s">
        <v>34</v>
      </c>
      <c r="M13" s="188" t="s">
        <v>257</v>
      </c>
      <c r="N13" s="188" t="s">
        <v>348</v>
      </c>
      <c r="O13" s="186"/>
      <c r="P13" s="186"/>
      <c r="Q13" s="186"/>
      <c r="R13" s="186"/>
      <c r="S13" s="186"/>
      <c r="T13" s="186"/>
      <c r="U13" s="186"/>
      <c r="V13" s="186"/>
      <c r="W13" s="186"/>
      <c r="X13" s="186"/>
    </row>
    <row r="14" spans="1:24" ht="15" thickBot="1" x14ac:dyDescent="0.35">
      <c r="A14" s="188" t="s">
        <v>320</v>
      </c>
      <c r="B14" s="188" t="s">
        <v>321</v>
      </c>
      <c r="C14" s="193" t="s">
        <v>322</v>
      </c>
      <c r="D14" s="188" t="s">
        <v>323</v>
      </c>
      <c r="E14" s="188">
        <v>721603032</v>
      </c>
      <c r="F14" s="188" t="s">
        <v>324</v>
      </c>
      <c r="G14" s="188" t="s">
        <v>37</v>
      </c>
      <c r="H14" s="188">
        <v>23</v>
      </c>
      <c r="I14" s="209">
        <v>90000</v>
      </c>
      <c r="J14" s="194">
        <v>42796</v>
      </c>
      <c r="K14" s="195">
        <v>0.64444444444444449</v>
      </c>
      <c r="L14" s="188" t="s">
        <v>31</v>
      </c>
      <c r="M14" s="188" t="s">
        <v>257</v>
      </c>
      <c r="N14" s="188" t="s">
        <v>355</v>
      </c>
      <c r="O14" s="186"/>
      <c r="P14" s="186"/>
      <c r="Q14" s="186"/>
      <c r="R14" s="186"/>
      <c r="S14" s="186"/>
      <c r="T14" s="186"/>
      <c r="U14" s="186"/>
      <c r="V14" s="186"/>
      <c r="W14" s="186"/>
      <c r="X14" s="186"/>
    </row>
    <row r="15" spans="1:24" ht="15" thickBot="1" x14ac:dyDescent="0.35">
      <c r="A15" s="188" t="s">
        <v>87</v>
      </c>
      <c r="B15" s="188" t="s">
        <v>293</v>
      </c>
      <c r="C15" s="193" t="s">
        <v>294</v>
      </c>
      <c r="D15" s="188" t="s">
        <v>295</v>
      </c>
      <c r="E15" s="188">
        <v>756523332</v>
      </c>
      <c r="F15" s="188" t="s">
        <v>296</v>
      </c>
      <c r="G15" s="188" t="s">
        <v>263</v>
      </c>
      <c r="H15" s="188">
        <v>1</v>
      </c>
      <c r="I15" s="209">
        <v>5000</v>
      </c>
      <c r="J15" s="194">
        <v>43942</v>
      </c>
      <c r="K15" s="195">
        <v>0.45069444444444445</v>
      </c>
      <c r="L15" s="188" t="s">
        <v>30</v>
      </c>
      <c r="M15" s="188" t="s">
        <v>257</v>
      </c>
      <c r="N15" s="188" t="s">
        <v>349</v>
      </c>
      <c r="O15" s="186"/>
      <c r="P15" s="186"/>
      <c r="Q15" s="186"/>
      <c r="R15" s="186"/>
      <c r="S15" s="186"/>
      <c r="T15" s="186"/>
      <c r="U15" s="186"/>
      <c r="V15" s="186"/>
      <c r="W15" s="186"/>
      <c r="X15" s="186"/>
    </row>
    <row r="16" spans="1:24" ht="15" thickBot="1" x14ac:dyDescent="0.35">
      <c r="A16" s="188" t="s">
        <v>297</v>
      </c>
      <c r="B16" s="188" t="s">
        <v>298</v>
      </c>
      <c r="C16" s="193" t="s">
        <v>299</v>
      </c>
      <c r="D16" s="188" t="s">
        <v>300</v>
      </c>
      <c r="E16" s="188">
        <v>781783832</v>
      </c>
      <c r="F16" s="188" t="s">
        <v>301</v>
      </c>
      <c r="G16" s="188" t="s">
        <v>40</v>
      </c>
      <c r="H16" s="188">
        <v>5</v>
      </c>
      <c r="I16" s="209">
        <v>75000</v>
      </c>
      <c r="J16" s="194">
        <v>43352</v>
      </c>
      <c r="K16" s="195">
        <v>0.40208333333333335</v>
      </c>
      <c r="L16" s="188" t="s">
        <v>35</v>
      </c>
      <c r="M16" s="188" t="s">
        <v>257</v>
      </c>
      <c r="N16" s="188" t="s">
        <v>350</v>
      </c>
      <c r="O16" s="186"/>
      <c r="P16" s="186"/>
      <c r="Q16" s="186"/>
      <c r="R16" s="186"/>
      <c r="S16" s="186"/>
      <c r="T16" s="186"/>
      <c r="U16" s="186"/>
      <c r="V16" s="186"/>
      <c r="W16" s="186"/>
      <c r="X16" s="186"/>
    </row>
    <row r="17" spans="1:24" ht="15" thickBot="1" x14ac:dyDescent="0.35">
      <c r="A17" s="188" t="s">
        <v>302</v>
      </c>
      <c r="B17" s="188" t="s">
        <v>289</v>
      </c>
      <c r="C17" s="193" t="s">
        <v>303</v>
      </c>
      <c r="D17" s="188" t="s">
        <v>304</v>
      </c>
      <c r="E17" s="188">
        <v>722743432</v>
      </c>
      <c r="F17" s="188" t="s">
        <v>305</v>
      </c>
      <c r="G17" s="188" t="s">
        <v>263</v>
      </c>
      <c r="H17" s="188">
        <v>1</v>
      </c>
      <c r="I17" s="209">
        <v>15000</v>
      </c>
      <c r="J17" s="194">
        <v>43297</v>
      </c>
      <c r="K17" s="195">
        <v>0.42430555555555555</v>
      </c>
      <c r="L17" s="188" t="s">
        <v>30</v>
      </c>
      <c r="M17" s="188" t="s">
        <v>264</v>
      </c>
      <c r="N17" s="188" t="s">
        <v>351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</row>
    <row r="18" spans="1:24" ht="15" thickBot="1" x14ac:dyDescent="0.35">
      <c r="A18" s="188" t="s">
        <v>306</v>
      </c>
      <c r="B18" s="188" t="s">
        <v>307</v>
      </c>
      <c r="C18" s="193" t="s">
        <v>308</v>
      </c>
      <c r="D18" s="188" t="s">
        <v>309</v>
      </c>
      <c r="E18" s="188">
        <v>750393032</v>
      </c>
      <c r="F18" s="188" t="s">
        <v>310</v>
      </c>
      <c r="G18" s="188" t="s">
        <v>263</v>
      </c>
      <c r="H18" s="188">
        <v>1</v>
      </c>
      <c r="I18" s="209">
        <v>12000</v>
      </c>
      <c r="J18" s="194">
        <v>44489</v>
      </c>
      <c r="K18" s="195">
        <v>0.40902777777777777</v>
      </c>
      <c r="L18" s="188" t="s">
        <v>53</v>
      </c>
      <c r="M18" s="188" t="s">
        <v>257</v>
      </c>
      <c r="N18" s="188" t="s">
        <v>352</v>
      </c>
      <c r="O18" s="186"/>
      <c r="P18" s="186"/>
      <c r="Q18" s="186"/>
      <c r="R18" s="186"/>
      <c r="S18" s="186"/>
      <c r="T18" s="186"/>
      <c r="U18" s="186"/>
      <c r="V18" s="186"/>
      <c r="W18" s="186"/>
      <c r="X18" s="186"/>
    </row>
    <row r="19" spans="1:24" ht="15" thickBot="1" x14ac:dyDescent="0.35">
      <c r="A19" s="188" t="s">
        <v>248</v>
      </c>
      <c r="B19" s="188" t="s">
        <v>249</v>
      </c>
      <c r="C19" s="193" t="s">
        <v>250</v>
      </c>
      <c r="D19" s="188" t="s">
        <v>251</v>
      </c>
      <c r="E19" s="188">
        <v>751793004</v>
      </c>
      <c r="F19" s="188" t="s">
        <v>252</v>
      </c>
      <c r="G19" s="188" t="s">
        <v>40</v>
      </c>
      <c r="H19" s="188">
        <v>4</v>
      </c>
      <c r="I19" s="209">
        <v>20000</v>
      </c>
      <c r="J19" s="194">
        <v>42737</v>
      </c>
      <c r="K19" s="195">
        <v>0.56041666666666667</v>
      </c>
      <c r="L19" s="188" t="s">
        <v>36</v>
      </c>
      <c r="M19" s="188" t="s">
        <v>257</v>
      </c>
      <c r="N19" s="188" t="s">
        <v>340</v>
      </c>
      <c r="O19" s="186"/>
      <c r="P19" s="186"/>
      <c r="Q19" s="186"/>
      <c r="R19" s="186"/>
      <c r="S19" s="186"/>
      <c r="T19" s="186"/>
      <c r="U19" s="186"/>
      <c r="V19" s="186"/>
      <c r="W19" s="186"/>
      <c r="X19" s="186"/>
    </row>
    <row r="20" spans="1:24" ht="15" thickBot="1" x14ac:dyDescent="0.35">
      <c r="A20" s="188" t="s">
        <v>311</v>
      </c>
      <c r="B20" s="188" t="s">
        <v>312</v>
      </c>
      <c r="C20" s="193" t="s">
        <v>313</v>
      </c>
      <c r="D20" s="188" t="s">
        <v>314</v>
      </c>
      <c r="E20" s="188">
        <v>757743052</v>
      </c>
      <c r="F20" s="188" t="s">
        <v>315</v>
      </c>
      <c r="G20" s="188" t="s">
        <v>37</v>
      </c>
      <c r="H20" s="188">
        <v>30</v>
      </c>
      <c r="I20" s="209">
        <v>120000</v>
      </c>
      <c r="J20" s="194">
        <v>39884</v>
      </c>
      <c r="K20" s="195">
        <v>0.64722222222222225</v>
      </c>
      <c r="L20" s="188" t="s">
        <v>30</v>
      </c>
      <c r="M20" s="188" t="s">
        <v>257</v>
      </c>
      <c r="N20" s="188" t="s">
        <v>353</v>
      </c>
      <c r="O20" s="186"/>
      <c r="P20" s="186"/>
      <c r="Q20" s="186"/>
      <c r="R20" s="186"/>
      <c r="S20" s="186"/>
      <c r="T20" s="186"/>
      <c r="U20" s="186"/>
      <c r="V20" s="186"/>
      <c r="W20" s="186"/>
      <c r="X20" s="186"/>
    </row>
    <row r="21" spans="1:24" ht="15" thickBot="1" x14ac:dyDescent="0.35">
      <c r="A21" s="188" t="s">
        <v>316</v>
      </c>
      <c r="B21" s="188" t="s">
        <v>259</v>
      </c>
      <c r="C21" s="193" t="s">
        <v>317</v>
      </c>
      <c r="D21" s="188" t="s">
        <v>318</v>
      </c>
      <c r="E21" s="188">
        <v>733795032</v>
      </c>
      <c r="F21" s="188" t="s">
        <v>319</v>
      </c>
      <c r="G21" s="188" t="s">
        <v>38</v>
      </c>
      <c r="H21" s="188">
        <v>24</v>
      </c>
      <c r="I21" s="209">
        <v>90000</v>
      </c>
      <c r="J21" s="194">
        <v>40395</v>
      </c>
      <c r="K21" s="195">
        <v>0.52777777777777779</v>
      </c>
      <c r="L21" s="188" t="s">
        <v>32</v>
      </c>
      <c r="M21" s="188" t="s">
        <v>257</v>
      </c>
      <c r="N21" s="188" t="s">
        <v>354</v>
      </c>
      <c r="O21" s="186"/>
      <c r="P21" s="186"/>
      <c r="Q21" s="186"/>
      <c r="R21" s="186"/>
      <c r="S21" s="186"/>
      <c r="T21" s="186"/>
      <c r="U21" s="186"/>
      <c r="V21" s="186"/>
      <c r="W21" s="186"/>
      <c r="X21" s="186"/>
    </row>
    <row r="22" spans="1:24" ht="15" thickBot="1" x14ac:dyDescent="0.35">
      <c r="A22" s="188" t="s">
        <v>320</v>
      </c>
      <c r="B22" s="188" t="s">
        <v>321</v>
      </c>
      <c r="C22" s="193" t="s">
        <v>322</v>
      </c>
      <c r="D22" s="188" t="s">
        <v>323</v>
      </c>
      <c r="E22" s="188">
        <v>721603032</v>
      </c>
      <c r="F22" s="188" t="s">
        <v>324</v>
      </c>
      <c r="G22" s="188" t="s">
        <v>40</v>
      </c>
      <c r="H22" s="188">
        <v>5</v>
      </c>
      <c r="I22" s="209">
        <v>75000</v>
      </c>
      <c r="J22" s="194">
        <v>41162</v>
      </c>
      <c r="K22" s="195">
        <v>0.64444444444444449</v>
      </c>
      <c r="L22" s="188" t="s">
        <v>29</v>
      </c>
      <c r="M22" s="188" t="s">
        <v>257</v>
      </c>
      <c r="N22" s="188" t="s">
        <v>355</v>
      </c>
      <c r="O22" s="186"/>
      <c r="P22" s="186"/>
      <c r="Q22" s="186"/>
      <c r="R22" s="186"/>
      <c r="S22" s="186"/>
      <c r="T22" s="186"/>
      <c r="U22" s="186"/>
      <c r="V22" s="186"/>
      <c r="W22" s="186"/>
      <c r="X22" s="186"/>
    </row>
    <row r="23" spans="1:24" ht="15" thickBot="1" x14ac:dyDescent="0.35">
      <c r="A23" s="188" t="s">
        <v>325</v>
      </c>
      <c r="B23" s="188" t="s">
        <v>326</v>
      </c>
      <c r="C23" s="193" t="s">
        <v>327</v>
      </c>
      <c r="D23" s="188" t="s">
        <v>328</v>
      </c>
      <c r="E23" s="188">
        <v>751733032</v>
      </c>
      <c r="F23" s="188" t="s">
        <v>329</v>
      </c>
      <c r="G23" s="188" t="s">
        <v>263</v>
      </c>
      <c r="H23" s="188">
        <v>1</v>
      </c>
      <c r="I23" s="209">
        <v>7500</v>
      </c>
      <c r="J23" s="194">
        <v>41011</v>
      </c>
      <c r="K23" s="195">
        <v>0.6875</v>
      </c>
      <c r="L23" s="188" t="s">
        <v>29</v>
      </c>
      <c r="M23" s="188" t="s">
        <v>257</v>
      </c>
      <c r="N23" s="188" t="s">
        <v>356</v>
      </c>
      <c r="O23" s="186"/>
      <c r="P23" s="186"/>
      <c r="Q23" s="186"/>
      <c r="R23" s="186"/>
      <c r="S23" s="186"/>
      <c r="T23" s="186"/>
      <c r="U23" s="186"/>
      <c r="V23" s="186"/>
      <c r="W23" s="186"/>
      <c r="X23" s="186"/>
    </row>
    <row r="24" spans="1:24" ht="15" thickBot="1" x14ac:dyDescent="0.35">
      <c r="A24" s="188" t="s">
        <v>93</v>
      </c>
      <c r="B24" s="188" t="s">
        <v>86</v>
      </c>
      <c r="C24" s="193" t="s">
        <v>254</v>
      </c>
      <c r="D24" s="188" t="s">
        <v>255</v>
      </c>
      <c r="E24" s="188">
        <v>763704432</v>
      </c>
      <c r="F24" s="188" t="s">
        <v>256</v>
      </c>
      <c r="G24" s="188" t="s">
        <v>37</v>
      </c>
      <c r="H24" s="188">
        <v>24</v>
      </c>
      <c r="I24" s="209">
        <v>80000</v>
      </c>
      <c r="J24" s="194">
        <v>36819</v>
      </c>
      <c r="K24" s="195">
        <v>0.44791666666666669</v>
      </c>
      <c r="L24" s="188" t="s">
        <v>34</v>
      </c>
      <c r="M24" s="188" t="s">
        <v>257</v>
      </c>
      <c r="N24" s="188" t="s">
        <v>341</v>
      </c>
      <c r="O24" s="186"/>
      <c r="P24" s="186"/>
      <c r="Q24" s="186"/>
      <c r="R24" s="186"/>
      <c r="S24" s="186"/>
      <c r="T24" s="186"/>
      <c r="U24" s="186"/>
      <c r="V24" s="186"/>
      <c r="W24" s="186"/>
      <c r="X24" s="186"/>
    </row>
    <row r="25" spans="1:24" ht="15" thickBot="1" x14ac:dyDescent="0.35">
      <c r="A25" s="188" t="s">
        <v>281</v>
      </c>
      <c r="B25" s="188" t="s">
        <v>83</v>
      </c>
      <c r="C25" s="193" t="s">
        <v>282</v>
      </c>
      <c r="D25" s="188" t="s">
        <v>283</v>
      </c>
      <c r="E25" s="188">
        <v>751793039</v>
      </c>
      <c r="F25" s="188" t="s">
        <v>284</v>
      </c>
      <c r="G25" s="188" t="s">
        <v>263</v>
      </c>
      <c r="H25" s="188">
        <v>1</v>
      </c>
      <c r="I25" s="209">
        <v>6500</v>
      </c>
      <c r="J25" s="194">
        <v>43875</v>
      </c>
      <c r="K25" s="195">
        <v>0.37777777777777777</v>
      </c>
      <c r="L25" s="188" t="s">
        <v>33</v>
      </c>
      <c r="M25" s="188" t="s">
        <v>257</v>
      </c>
      <c r="N25" s="188" t="s">
        <v>346</v>
      </c>
      <c r="O25" s="186"/>
      <c r="P25" s="186"/>
      <c r="Q25" s="186"/>
      <c r="R25" s="186"/>
      <c r="S25" s="186"/>
      <c r="T25" s="186"/>
      <c r="U25" s="186"/>
      <c r="V25" s="186"/>
      <c r="W25" s="186"/>
      <c r="X25" s="186"/>
    </row>
    <row r="26" spans="1:24" ht="15" thickBot="1" x14ac:dyDescent="0.35">
      <c r="A26" s="188" t="s">
        <v>265</v>
      </c>
      <c r="B26" s="188" t="s">
        <v>266</v>
      </c>
      <c r="C26" s="193" t="s">
        <v>267</v>
      </c>
      <c r="D26" s="188" t="s">
        <v>268</v>
      </c>
      <c r="E26" s="188">
        <v>751793039</v>
      </c>
      <c r="F26" s="188" t="s">
        <v>269</v>
      </c>
      <c r="G26" s="188" t="s">
        <v>263</v>
      </c>
      <c r="H26" s="188">
        <v>1</v>
      </c>
      <c r="I26" s="209">
        <v>10000</v>
      </c>
      <c r="J26" s="194">
        <v>42407</v>
      </c>
      <c r="K26" s="195">
        <v>0.63124999999999998</v>
      </c>
      <c r="L26" s="188" t="s">
        <v>31</v>
      </c>
      <c r="M26" s="188" t="s">
        <v>253</v>
      </c>
      <c r="N26" s="188" t="s">
        <v>343</v>
      </c>
      <c r="O26" s="186"/>
      <c r="P26" s="186"/>
      <c r="Q26" s="186"/>
      <c r="R26" s="186"/>
      <c r="S26" s="186"/>
      <c r="T26" s="186"/>
      <c r="U26" s="186"/>
      <c r="V26" s="186"/>
      <c r="W26" s="186"/>
      <c r="X26" s="186"/>
    </row>
    <row r="27" spans="1:24" x14ac:dyDescent="0.3">
      <c r="A27" s="186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</row>
    <row r="28" spans="1:24" x14ac:dyDescent="0.3">
      <c r="A28" s="186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</row>
    <row r="29" spans="1:24" x14ac:dyDescent="0.3">
      <c r="A29" s="186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</row>
    <row r="30" spans="1:24" x14ac:dyDescent="0.3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</row>
    <row r="31" spans="1:24" x14ac:dyDescent="0.3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</row>
    <row r="32" spans="1:24" x14ac:dyDescent="0.3">
      <c r="A32" s="186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</row>
    <row r="33" spans="1:24" x14ac:dyDescent="0.3">
      <c r="A33" s="186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</row>
    <row r="34" spans="1:24" x14ac:dyDescent="0.3">
      <c r="A34" s="186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</row>
    <row r="35" spans="1:24" x14ac:dyDescent="0.3">
      <c r="A35" s="186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</row>
    <row r="36" spans="1:24" x14ac:dyDescent="0.3">
      <c r="A36" s="186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</row>
    <row r="37" spans="1:24" x14ac:dyDescent="0.3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</row>
    <row r="38" spans="1:24" x14ac:dyDescent="0.3">
      <c r="A38" s="186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</row>
    <row r="39" spans="1:24" x14ac:dyDescent="0.3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</row>
    <row r="40" spans="1:24" x14ac:dyDescent="0.3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R93"/>
  <sheetViews>
    <sheetView workbookViewId="0">
      <selection activeCell="K1" sqref="K1"/>
    </sheetView>
  </sheetViews>
  <sheetFormatPr defaultRowHeight="14.4" x14ac:dyDescent="0.3"/>
  <cols>
    <col min="1" max="1" width="25" customWidth="1"/>
    <col min="2" max="2" width="15.5546875" customWidth="1"/>
    <col min="3" max="3" width="22.6640625" customWidth="1"/>
    <col min="4" max="4" width="14" customWidth="1"/>
    <col min="5" max="5" width="14.44140625" customWidth="1"/>
    <col min="6" max="6" width="10" customWidth="1"/>
    <col min="7" max="7" width="10.77734375" customWidth="1"/>
    <col min="8" max="8" width="25" bestFit="1" customWidth="1"/>
    <col min="9" max="9" width="13.88671875" bestFit="1" customWidth="1"/>
    <col min="10" max="10" width="25" bestFit="1" customWidth="1"/>
    <col min="11" max="11" width="13.88671875" bestFit="1" customWidth="1"/>
    <col min="12" max="12" width="29.88671875" bestFit="1" customWidth="1"/>
    <col min="13" max="13" width="18.6640625" bestFit="1" customWidth="1"/>
  </cols>
  <sheetData>
    <row r="1" spans="1:18" ht="23.4" x14ac:dyDescent="0.45">
      <c r="A1" s="10"/>
      <c r="B1" s="10"/>
      <c r="C1" s="28" t="s">
        <v>362</v>
      </c>
      <c r="D1" s="212"/>
      <c r="E1" s="10"/>
      <c r="F1" s="10"/>
      <c r="G1" s="10"/>
      <c r="H1" s="10"/>
      <c r="I1" s="10"/>
      <c r="J1" s="10"/>
      <c r="K1" s="12" t="s">
        <v>7</v>
      </c>
      <c r="L1" s="10"/>
      <c r="M1" s="10"/>
      <c r="N1" s="10"/>
      <c r="O1" s="10"/>
      <c r="P1" s="10"/>
      <c r="Q1" s="10"/>
      <c r="R1" s="10"/>
    </row>
    <row r="2" spans="1:18" ht="23.4" x14ac:dyDescent="0.45">
      <c r="A2" s="10"/>
      <c r="B2" s="10"/>
      <c r="C2" s="28"/>
      <c r="D2" s="212"/>
      <c r="E2" s="10"/>
      <c r="F2" s="10"/>
      <c r="G2" s="10"/>
      <c r="H2" s="10"/>
      <c r="I2" s="10"/>
      <c r="J2" s="10"/>
      <c r="K2" s="12"/>
      <c r="L2" s="10"/>
      <c r="M2" s="10"/>
      <c r="N2" s="10"/>
      <c r="O2" s="10"/>
      <c r="P2" s="10"/>
      <c r="Q2" s="10"/>
      <c r="R2" s="10"/>
    </row>
    <row r="3" spans="1:18" ht="23.4" x14ac:dyDescent="0.45">
      <c r="A3" s="210" t="s">
        <v>243</v>
      </c>
      <c r="B3" t="s">
        <v>361</v>
      </c>
      <c r="C3" s="28"/>
      <c r="D3" s="21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210" t="s">
        <v>242</v>
      </c>
      <c r="B4" t="s">
        <v>361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3">
      <c r="A6" s="210" t="s">
        <v>360</v>
      </c>
      <c r="B6" s="210" t="s">
        <v>359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210" t="s">
        <v>358</v>
      </c>
      <c r="B7" t="s">
        <v>40</v>
      </c>
      <c r="C7" t="s">
        <v>263</v>
      </c>
      <c r="D7" t="s">
        <v>38</v>
      </c>
      <c r="E7" t="s">
        <v>280</v>
      </c>
      <c r="F7" t="s">
        <v>37</v>
      </c>
      <c r="G7" t="s">
        <v>235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211" t="s">
        <v>281</v>
      </c>
      <c r="B8" s="200"/>
      <c r="C8" s="200">
        <v>16500</v>
      </c>
      <c r="D8" s="200"/>
      <c r="E8" s="200"/>
      <c r="F8" s="200">
        <v>250000</v>
      </c>
      <c r="G8" s="200">
        <v>266500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213" t="s">
        <v>346</v>
      </c>
      <c r="B9" s="200"/>
      <c r="C9" s="200">
        <v>16500</v>
      </c>
      <c r="D9" s="200"/>
      <c r="E9" s="200"/>
      <c r="F9" s="200">
        <v>250000</v>
      </c>
      <c r="G9" s="200">
        <v>266500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A10" s="214">
        <v>43819</v>
      </c>
      <c r="B10" s="200"/>
      <c r="C10" s="200">
        <v>10000</v>
      </c>
      <c r="D10" s="200"/>
      <c r="E10" s="200"/>
      <c r="F10" s="200"/>
      <c r="G10" s="200">
        <v>10000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3">
      <c r="A11" s="214">
        <v>43875</v>
      </c>
      <c r="B11" s="200"/>
      <c r="C11" s="200">
        <v>6500</v>
      </c>
      <c r="D11" s="200"/>
      <c r="E11" s="200"/>
      <c r="F11" s="200"/>
      <c r="G11" s="200">
        <v>6500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3">
      <c r="A12" s="214">
        <v>43898</v>
      </c>
      <c r="B12" s="200"/>
      <c r="C12" s="200"/>
      <c r="D12" s="200"/>
      <c r="E12" s="200"/>
      <c r="F12" s="200">
        <v>250000</v>
      </c>
      <c r="G12" s="200">
        <v>250000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3">
      <c r="A13" s="211" t="s">
        <v>258</v>
      </c>
      <c r="B13" s="200"/>
      <c r="C13" s="200">
        <v>15000</v>
      </c>
      <c r="D13" s="200"/>
      <c r="E13" s="200"/>
      <c r="F13" s="200"/>
      <c r="G13" s="200">
        <v>15000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3">
      <c r="A14" s="213" t="s">
        <v>342</v>
      </c>
      <c r="B14" s="200"/>
      <c r="C14" s="200">
        <v>15000</v>
      </c>
      <c r="D14" s="200"/>
      <c r="E14" s="200"/>
      <c r="F14" s="200"/>
      <c r="G14" s="200">
        <v>15000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214">
        <v>43203</v>
      </c>
      <c r="B15" s="200"/>
      <c r="C15" s="200">
        <v>15000</v>
      </c>
      <c r="D15" s="200"/>
      <c r="E15" s="200"/>
      <c r="F15" s="200"/>
      <c r="G15" s="200">
        <v>15000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211" t="s">
        <v>270</v>
      </c>
      <c r="B16" s="200">
        <v>50000</v>
      </c>
      <c r="C16" s="200"/>
      <c r="D16" s="200"/>
      <c r="E16" s="200"/>
      <c r="F16" s="200"/>
      <c r="G16" s="200">
        <v>50000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213" t="s">
        <v>344</v>
      </c>
      <c r="B17" s="200">
        <v>50000</v>
      </c>
      <c r="C17" s="200"/>
      <c r="D17" s="200"/>
      <c r="E17" s="200"/>
      <c r="F17" s="200"/>
      <c r="G17" s="200">
        <v>50000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214">
        <v>42370</v>
      </c>
      <c r="B18" s="200">
        <v>50000</v>
      </c>
      <c r="C18" s="200"/>
      <c r="D18" s="200"/>
      <c r="E18" s="200"/>
      <c r="F18" s="200"/>
      <c r="G18" s="200">
        <v>50000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211" t="s">
        <v>311</v>
      </c>
      <c r="B19" s="200"/>
      <c r="C19" s="200"/>
      <c r="D19" s="200"/>
      <c r="E19" s="200"/>
      <c r="F19" s="200">
        <v>120000</v>
      </c>
      <c r="G19" s="200">
        <v>120000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213" t="s">
        <v>353</v>
      </c>
      <c r="B20" s="200"/>
      <c r="C20" s="200"/>
      <c r="D20" s="200"/>
      <c r="E20" s="200"/>
      <c r="F20" s="200">
        <v>120000</v>
      </c>
      <c r="G20" s="200">
        <v>120000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214">
        <v>39884</v>
      </c>
      <c r="B21" s="200"/>
      <c r="C21" s="200"/>
      <c r="D21" s="200"/>
      <c r="E21" s="200"/>
      <c r="F21" s="200">
        <v>120000</v>
      </c>
      <c r="G21" s="200">
        <v>120000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3">
      <c r="A22" s="211" t="s">
        <v>93</v>
      </c>
      <c r="B22" s="200"/>
      <c r="C22" s="200"/>
      <c r="D22" s="200">
        <v>150000</v>
      </c>
      <c r="E22" s="200"/>
      <c r="F22" s="200">
        <v>80000</v>
      </c>
      <c r="G22" s="200">
        <v>230000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213" t="s">
        <v>341</v>
      </c>
      <c r="B23" s="200"/>
      <c r="C23" s="200"/>
      <c r="D23" s="200">
        <v>150000</v>
      </c>
      <c r="E23" s="200"/>
      <c r="F23" s="200">
        <v>80000</v>
      </c>
      <c r="G23" s="200">
        <v>230000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214">
        <v>36819</v>
      </c>
      <c r="B24" s="200"/>
      <c r="C24" s="200"/>
      <c r="D24" s="200"/>
      <c r="E24" s="200"/>
      <c r="F24" s="200">
        <v>80000</v>
      </c>
      <c r="G24" s="200">
        <v>80000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214">
        <v>38632</v>
      </c>
      <c r="B25" s="200"/>
      <c r="C25" s="200"/>
      <c r="D25" s="200">
        <v>150000</v>
      </c>
      <c r="E25" s="200"/>
      <c r="F25" s="200"/>
      <c r="G25" s="200">
        <v>150000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211" t="s">
        <v>325</v>
      </c>
      <c r="B26" s="200"/>
      <c r="C26" s="200">
        <v>7500</v>
      </c>
      <c r="D26" s="200"/>
      <c r="E26" s="200"/>
      <c r="F26" s="200"/>
      <c r="G26" s="200">
        <v>7500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213" t="s">
        <v>356</v>
      </c>
      <c r="B27" s="200"/>
      <c r="C27" s="200">
        <v>7500</v>
      </c>
      <c r="D27" s="200"/>
      <c r="E27" s="200"/>
      <c r="F27" s="200"/>
      <c r="G27" s="200">
        <v>7500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3">
      <c r="A28" s="214">
        <v>41011</v>
      </c>
      <c r="B28" s="200"/>
      <c r="C28" s="200">
        <v>7500</v>
      </c>
      <c r="D28" s="200"/>
      <c r="E28" s="200"/>
      <c r="F28" s="200"/>
      <c r="G28" s="200">
        <v>7500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3">
      <c r="A29" s="211" t="s">
        <v>297</v>
      </c>
      <c r="B29" s="200">
        <v>75000</v>
      </c>
      <c r="C29" s="200"/>
      <c r="D29" s="200"/>
      <c r="E29" s="200"/>
      <c r="F29" s="200"/>
      <c r="G29" s="200">
        <v>75000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213" t="s">
        <v>350</v>
      </c>
      <c r="B30" s="200">
        <v>75000</v>
      </c>
      <c r="C30" s="200"/>
      <c r="D30" s="200"/>
      <c r="E30" s="200"/>
      <c r="F30" s="200"/>
      <c r="G30" s="200">
        <v>75000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214">
        <v>43352</v>
      </c>
      <c r="B31" s="200">
        <v>75000</v>
      </c>
      <c r="C31" s="200"/>
      <c r="D31" s="200"/>
      <c r="E31" s="200"/>
      <c r="F31" s="200"/>
      <c r="G31" s="200">
        <v>75000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211" t="s">
        <v>275</v>
      </c>
      <c r="B32" s="200"/>
      <c r="C32" s="200"/>
      <c r="D32" s="200"/>
      <c r="E32" s="200">
        <v>80000</v>
      </c>
      <c r="F32" s="200"/>
      <c r="G32" s="200">
        <v>80000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3">
      <c r="A33" s="213" t="s">
        <v>345</v>
      </c>
      <c r="B33" s="200"/>
      <c r="C33" s="200"/>
      <c r="D33" s="200"/>
      <c r="E33" s="200">
        <v>80000</v>
      </c>
      <c r="F33" s="200"/>
      <c r="G33" s="200">
        <v>80000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3">
      <c r="A34" s="214">
        <v>36558</v>
      </c>
      <c r="B34" s="200"/>
      <c r="C34" s="200"/>
      <c r="D34" s="200"/>
      <c r="E34" s="200">
        <v>80000</v>
      </c>
      <c r="F34" s="200"/>
      <c r="G34" s="200">
        <v>80000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x14ac:dyDescent="0.3">
      <c r="A35" s="211" t="s">
        <v>306</v>
      </c>
      <c r="B35" s="200"/>
      <c r="C35" s="200">
        <v>12000</v>
      </c>
      <c r="D35" s="200"/>
      <c r="E35" s="200"/>
      <c r="F35" s="200"/>
      <c r="G35" s="200">
        <v>12000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3">
      <c r="A36" s="213" t="s">
        <v>352</v>
      </c>
      <c r="B36" s="200"/>
      <c r="C36" s="200">
        <v>12000</v>
      </c>
      <c r="D36" s="200"/>
      <c r="E36" s="200"/>
      <c r="F36" s="200"/>
      <c r="G36" s="200">
        <v>12000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3">
      <c r="A37" s="214">
        <v>44489</v>
      </c>
      <c r="B37" s="200"/>
      <c r="C37" s="200">
        <v>12000</v>
      </c>
      <c r="D37" s="200"/>
      <c r="E37" s="200"/>
      <c r="F37" s="200"/>
      <c r="G37" s="200">
        <v>12000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3">
      <c r="A38" s="211" t="s">
        <v>87</v>
      </c>
      <c r="B38" s="200"/>
      <c r="C38" s="200">
        <v>5000</v>
      </c>
      <c r="D38" s="200"/>
      <c r="E38" s="200"/>
      <c r="F38" s="200"/>
      <c r="G38" s="200">
        <v>5000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3">
      <c r="A39" s="213" t="s">
        <v>349</v>
      </c>
      <c r="B39" s="200"/>
      <c r="C39" s="200">
        <v>5000</v>
      </c>
      <c r="D39" s="200"/>
      <c r="E39" s="200"/>
      <c r="F39" s="200"/>
      <c r="G39" s="200">
        <v>5000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3">
      <c r="A40" s="214">
        <v>43942</v>
      </c>
      <c r="B40" s="200"/>
      <c r="C40" s="200">
        <v>5000</v>
      </c>
      <c r="D40" s="200"/>
      <c r="E40" s="200"/>
      <c r="F40" s="200"/>
      <c r="G40" s="200">
        <v>5000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3">
      <c r="A41" s="211" t="s">
        <v>248</v>
      </c>
      <c r="B41" s="200">
        <v>20000</v>
      </c>
      <c r="C41" s="200"/>
      <c r="D41" s="200"/>
      <c r="E41" s="200"/>
      <c r="F41" s="200">
        <v>200000</v>
      </c>
      <c r="G41" s="200">
        <v>220000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3">
      <c r="A42" s="213" t="s">
        <v>340</v>
      </c>
      <c r="B42" s="200">
        <v>20000</v>
      </c>
      <c r="C42" s="200"/>
      <c r="D42" s="200"/>
      <c r="E42" s="200"/>
      <c r="F42" s="200">
        <v>200000</v>
      </c>
      <c r="G42" s="200">
        <v>220000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3">
      <c r="A43" s="214">
        <v>39428</v>
      </c>
      <c r="B43" s="200"/>
      <c r="C43" s="200"/>
      <c r="D43" s="200"/>
      <c r="E43" s="200"/>
      <c r="F43" s="200">
        <v>200000</v>
      </c>
      <c r="G43" s="200">
        <v>200000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x14ac:dyDescent="0.3">
      <c r="A44" s="214">
        <v>42737</v>
      </c>
      <c r="B44" s="200">
        <v>20000</v>
      </c>
      <c r="C44" s="200"/>
      <c r="D44" s="200"/>
      <c r="E44" s="200"/>
      <c r="F44" s="200"/>
      <c r="G44" s="200">
        <v>20000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x14ac:dyDescent="0.3">
      <c r="A45" s="211" t="s">
        <v>320</v>
      </c>
      <c r="B45" s="200">
        <v>75000</v>
      </c>
      <c r="C45" s="200"/>
      <c r="D45" s="200"/>
      <c r="E45" s="200"/>
      <c r="F45" s="200">
        <v>90000</v>
      </c>
      <c r="G45" s="200">
        <v>165000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x14ac:dyDescent="0.3">
      <c r="A46" s="213" t="s">
        <v>355</v>
      </c>
      <c r="B46" s="200">
        <v>75000</v>
      </c>
      <c r="C46" s="200"/>
      <c r="D46" s="200"/>
      <c r="E46" s="200"/>
      <c r="F46" s="200">
        <v>90000</v>
      </c>
      <c r="G46" s="200">
        <v>165000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x14ac:dyDescent="0.3">
      <c r="A47" s="214">
        <v>41162</v>
      </c>
      <c r="B47" s="200">
        <v>75000</v>
      </c>
      <c r="C47" s="200"/>
      <c r="D47" s="200"/>
      <c r="E47" s="200"/>
      <c r="F47" s="200"/>
      <c r="G47" s="200">
        <v>75000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x14ac:dyDescent="0.3">
      <c r="A48" s="214">
        <v>42796</v>
      </c>
      <c r="B48" s="200"/>
      <c r="C48" s="200"/>
      <c r="D48" s="200"/>
      <c r="E48" s="200"/>
      <c r="F48" s="200">
        <v>90000</v>
      </c>
      <c r="G48" s="200">
        <v>90000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x14ac:dyDescent="0.3">
      <c r="A49" s="211" t="s">
        <v>265</v>
      </c>
      <c r="B49" s="200">
        <v>35000</v>
      </c>
      <c r="C49" s="200">
        <v>10000</v>
      </c>
      <c r="D49" s="200"/>
      <c r="E49" s="200"/>
      <c r="F49" s="200"/>
      <c r="G49" s="200">
        <v>45000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x14ac:dyDescent="0.3">
      <c r="A50" s="213" t="s">
        <v>343</v>
      </c>
      <c r="B50" s="200">
        <v>35000</v>
      </c>
      <c r="C50" s="200">
        <v>10000</v>
      </c>
      <c r="D50" s="200"/>
      <c r="E50" s="200"/>
      <c r="F50" s="200"/>
      <c r="G50" s="200">
        <v>45000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x14ac:dyDescent="0.3">
      <c r="A51" s="214">
        <v>41461</v>
      </c>
      <c r="B51" s="200">
        <v>35000</v>
      </c>
      <c r="C51" s="200"/>
      <c r="D51" s="200"/>
      <c r="E51" s="200"/>
      <c r="F51" s="200"/>
      <c r="G51" s="200">
        <v>35000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x14ac:dyDescent="0.3">
      <c r="A52" s="214">
        <v>42407</v>
      </c>
      <c r="B52" s="200"/>
      <c r="C52" s="200">
        <v>10000</v>
      </c>
      <c r="D52" s="200"/>
      <c r="E52" s="200"/>
      <c r="F52" s="200"/>
      <c r="G52" s="200">
        <v>10000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x14ac:dyDescent="0.3">
      <c r="A53" s="211" t="s">
        <v>302</v>
      </c>
      <c r="B53" s="200"/>
      <c r="C53" s="200">
        <v>15000</v>
      </c>
      <c r="D53" s="200"/>
      <c r="E53" s="200"/>
      <c r="F53" s="200"/>
      <c r="G53" s="200">
        <v>15000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x14ac:dyDescent="0.3">
      <c r="A54" s="213" t="s">
        <v>351</v>
      </c>
      <c r="B54" s="200"/>
      <c r="C54" s="200">
        <v>15000</v>
      </c>
      <c r="D54" s="200"/>
      <c r="E54" s="200"/>
      <c r="F54" s="200"/>
      <c r="G54" s="200">
        <v>15000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x14ac:dyDescent="0.3">
      <c r="A55" s="214">
        <v>43297</v>
      </c>
      <c r="B55" s="200"/>
      <c r="C55" s="200">
        <v>15000</v>
      </c>
      <c r="D55" s="200"/>
      <c r="E55" s="200"/>
      <c r="F55" s="200"/>
      <c r="G55" s="200">
        <v>15000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x14ac:dyDescent="0.3">
      <c r="A56" s="211" t="s">
        <v>266</v>
      </c>
      <c r="B56" s="200">
        <v>20000</v>
      </c>
      <c r="C56" s="200"/>
      <c r="D56" s="200"/>
      <c r="E56" s="200"/>
      <c r="F56" s="200"/>
      <c r="G56" s="200">
        <v>20000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3">
      <c r="A57" s="213" t="s">
        <v>347</v>
      </c>
      <c r="B57" s="200">
        <v>20000</v>
      </c>
      <c r="C57" s="200"/>
      <c r="D57" s="200"/>
      <c r="E57" s="200"/>
      <c r="F57" s="200"/>
      <c r="G57" s="200">
        <v>20000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x14ac:dyDescent="0.3">
      <c r="A58" s="214">
        <v>42785</v>
      </c>
      <c r="B58" s="200">
        <v>20000</v>
      </c>
      <c r="C58" s="200"/>
      <c r="D58" s="200"/>
      <c r="E58" s="200"/>
      <c r="F58" s="200"/>
      <c r="G58" s="200">
        <v>20000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x14ac:dyDescent="0.3">
      <c r="A59" s="211" t="s">
        <v>316</v>
      </c>
      <c r="B59" s="200"/>
      <c r="C59" s="200"/>
      <c r="D59" s="200">
        <v>90000</v>
      </c>
      <c r="E59" s="200"/>
      <c r="F59" s="200"/>
      <c r="G59" s="200">
        <v>90000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x14ac:dyDescent="0.3">
      <c r="A60" s="213" t="s">
        <v>354</v>
      </c>
      <c r="B60" s="200"/>
      <c r="C60" s="200"/>
      <c r="D60" s="200">
        <v>90000</v>
      </c>
      <c r="E60" s="200"/>
      <c r="F60" s="200"/>
      <c r="G60" s="200">
        <v>90000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x14ac:dyDescent="0.3">
      <c r="A61" s="214">
        <v>40395</v>
      </c>
      <c r="B61" s="200"/>
      <c r="C61" s="200"/>
      <c r="D61" s="200">
        <v>90000</v>
      </c>
      <c r="E61" s="200"/>
      <c r="F61" s="200"/>
      <c r="G61" s="200">
        <v>90000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x14ac:dyDescent="0.3">
      <c r="A62" s="211" t="s">
        <v>91</v>
      </c>
      <c r="B62" s="200">
        <v>45000</v>
      </c>
      <c r="C62" s="200"/>
      <c r="D62" s="200"/>
      <c r="E62" s="200"/>
      <c r="F62" s="200"/>
      <c r="G62" s="200">
        <v>45000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x14ac:dyDescent="0.3">
      <c r="A63" s="213" t="s">
        <v>348</v>
      </c>
      <c r="B63" s="200">
        <v>45000</v>
      </c>
      <c r="C63" s="200"/>
      <c r="D63" s="200"/>
      <c r="E63" s="200"/>
      <c r="F63" s="200"/>
      <c r="G63" s="200">
        <v>45000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x14ac:dyDescent="0.3">
      <c r="A64" s="214">
        <v>42262</v>
      </c>
      <c r="B64" s="200">
        <v>45000</v>
      </c>
      <c r="C64" s="200"/>
      <c r="D64" s="200"/>
      <c r="E64" s="200"/>
      <c r="F64" s="200"/>
      <c r="G64" s="200">
        <v>45000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x14ac:dyDescent="0.3">
      <c r="A65" s="211" t="s">
        <v>235</v>
      </c>
      <c r="B65" s="200">
        <v>320000</v>
      </c>
      <c r="C65" s="200">
        <v>81000</v>
      </c>
      <c r="D65" s="200">
        <v>240000</v>
      </c>
      <c r="E65" s="200">
        <v>80000</v>
      </c>
      <c r="F65" s="200">
        <v>740000</v>
      </c>
      <c r="G65" s="200">
        <v>1461000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</sheetData>
  <sheetProtection sheet="1" objects="1" scenarios="1"/>
  <hyperlinks>
    <hyperlink ref="K1" location="Acasa!A1" display="Hom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11</vt:i4>
      </vt:variant>
      <vt:variant>
        <vt:lpstr>Zone denumite</vt:lpstr>
      </vt:variant>
      <vt:variant>
        <vt:i4>6</vt:i4>
      </vt:variant>
    </vt:vector>
  </HeadingPairs>
  <TitlesOfParts>
    <vt:vector size="17" baseType="lpstr">
      <vt:lpstr>Acasa</vt:lpstr>
      <vt:lpstr>ING</vt:lpstr>
      <vt:lpstr>Structura</vt:lpstr>
      <vt:lpstr>Ore clienti</vt:lpstr>
      <vt:lpstr>Credite</vt:lpstr>
      <vt:lpstr>Plan Cladire</vt:lpstr>
      <vt:lpstr>Curs Valutar</vt:lpstr>
      <vt:lpstr>Bilant Salarii</vt:lpstr>
      <vt:lpstr>Subtotal tabel credite</vt:lpstr>
      <vt:lpstr>Import clienti txt</vt:lpstr>
      <vt:lpstr>Tableta Pivot</vt:lpstr>
      <vt:lpstr>angajati</vt:lpstr>
      <vt:lpstr>'Import clienti txt'!clienti_ing_import</vt:lpstr>
      <vt:lpstr>fundal_sheet_orepopulate</vt:lpstr>
      <vt:lpstr>Management_Team</vt:lpstr>
      <vt:lpstr>SalariuNet</vt:lpstr>
      <vt:lpstr>ValoareFinala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 6</cp:lastModifiedBy>
  <dcterms:created xsi:type="dcterms:W3CDTF">2020-04-17T16:48:53Z</dcterms:created>
  <dcterms:modified xsi:type="dcterms:W3CDTF">2026-01-22T19:39:44Z</dcterms:modified>
</cp:coreProperties>
</file>